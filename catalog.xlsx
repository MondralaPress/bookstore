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2"/>
  <workbookPr defaultThemeVersion="202300"/>
  <mc:AlternateContent xmlns:mc="http://schemas.openxmlformats.org/markup-compatibility/2006">
    <mc:Choice Requires="x15">
      <x15ac:absPath xmlns:x15ac="http://schemas.microsoft.com/office/spreadsheetml/2010/11/ac" url="https://d.docs.live.net/abac970dd7fde214/ATHENEUM/the-polish-atheneum/"/>
    </mc:Choice>
  </mc:AlternateContent>
  <xr:revisionPtr revIDLastSave="779" documentId="8_{7A17575A-3159-426C-AEB6-2C4506AAA768}" xr6:coauthVersionLast="47" xr6:coauthVersionMax="47" xr10:uidLastSave="{E9C527AC-DAD7-43AE-A525-C60275F26A30}"/>
  <bookViews>
    <workbookView xWindow="-120" yWindow="-120" windowWidth="29040" windowHeight="15840" xr2:uid="{2B1B7759-F909-4AF6-A557-483382B14A56}"/>
  </bookViews>
  <sheets>
    <sheet name="Sheet1" sheetId="1" r:id="rId1"/>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H69" i="1" l="1"/>
  <c r="AH66" i="1"/>
  <c r="AH67" i="1"/>
  <c r="AH68" i="1"/>
  <c r="Z66" i="1"/>
  <c r="AH65" i="1"/>
  <c r="AH64" i="1"/>
  <c r="AH63" i="1"/>
  <c r="AH62" i="1"/>
  <c r="AH61" i="1"/>
  <c r="AH60" i="1"/>
  <c r="AH59" i="1"/>
  <c r="AH58" i="1"/>
  <c r="AH57" i="1"/>
  <c r="AH56" i="1"/>
  <c r="AH55" i="1"/>
  <c r="AH54" i="1"/>
  <c r="AH53" i="1"/>
  <c r="Z52" i="1"/>
  <c r="AH52" i="1"/>
  <c r="Z48" i="1"/>
  <c r="AH51" i="1"/>
  <c r="AH50" i="1"/>
  <c r="AH49" i="1"/>
  <c r="AH48" i="1"/>
  <c r="AH47" i="1"/>
  <c r="AH40" i="1"/>
  <c r="AH3" i="1"/>
  <c r="AH4" i="1"/>
  <c r="AH5" i="1"/>
  <c r="AH6" i="1"/>
  <c r="AH7" i="1"/>
  <c r="AH8" i="1"/>
  <c r="AH9" i="1"/>
  <c r="AH10" i="1"/>
  <c r="AH11" i="1"/>
  <c r="AH12" i="1"/>
  <c r="AH13" i="1"/>
  <c r="AH14" i="1"/>
  <c r="AH15" i="1"/>
  <c r="AH16" i="1"/>
  <c r="AH17" i="1"/>
  <c r="AH18" i="1"/>
  <c r="AH19" i="1"/>
  <c r="AH20" i="1"/>
  <c r="AH21" i="1"/>
  <c r="AH22" i="1"/>
  <c r="AH23" i="1"/>
  <c r="AH24" i="1"/>
  <c r="AH25" i="1"/>
  <c r="AH26" i="1"/>
  <c r="AH27" i="1"/>
  <c r="AH28" i="1"/>
  <c r="AH29" i="1"/>
  <c r="AH30" i="1"/>
  <c r="AH31" i="1"/>
  <c r="AH32" i="1"/>
  <c r="AH33" i="1"/>
  <c r="AH34" i="1"/>
  <c r="AH35" i="1"/>
  <c r="AH36" i="1"/>
  <c r="AH37" i="1"/>
  <c r="AH38" i="1"/>
  <c r="AH39" i="1"/>
  <c r="AH41" i="1"/>
  <c r="AH42" i="1"/>
  <c r="AH43" i="1"/>
  <c r="AH44" i="1"/>
  <c r="AH45" i="1"/>
  <c r="AH46" i="1"/>
  <c r="AH2" i="1"/>
</calcChain>
</file>

<file path=xl/sharedStrings.xml><?xml version="1.0" encoding="utf-8"?>
<sst xmlns="http://schemas.openxmlformats.org/spreadsheetml/2006/main" count="795" uniqueCount="326">
  <si>
    <t>cover</t>
  </si>
  <si>
    <t>Chopin In Paris: The Life And Times Of The Romantic Composer</t>
  </si>
  <si>
    <t>Tad Szulc</t>
  </si>
  <si>
    <t>The Peasant Prince: Thaddeus Kosciuszko and the Age of Revolution</t>
  </si>
  <si>
    <t>Alex Strozynski</t>
  </si>
  <si>
    <t>Izabela the Valiant: The Story of an Indomitable Polish Princess</t>
  </si>
  <si>
    <t>Adam Zamoyski</t>
  </si>
  <si>
    <t>The Polish-Lithuanian Commonwealth, 1733-1795: Light and Flame</t>
  </si>
  <si>
    <t>Richard Butterwick</t>
  </si>
  <si>
    <t>Trail of Hope: The Anders Army, An Odyssey Across Three Continents</t>
  </si>
  <si>
    <t>Norman Davies</t>
  </si>
  <si>
    <t>303 Squadron: The Legendary Battle of Britain Fighter Squadron</t>
  </si>
  <si>
    <t>Arkady Fiedler</t>
  </si>
  <si>
    <t>id</t>
  </si>
  <si>
    <t>peasant-prince</t>
  </si>
  <si>
    <t>trail-of-hope</t>
  </si>
  <si>
    <t>303-squadron</t>
  </si>
  <si>
    <t>currency</t>
  </si>
  <si>
    <t>weight</t>
  </si>
  <si>
    <t>dimensions</t>
  </si>
  <si>
    <t>pages</t>
  </si>
  <si>
    <t>description_short</t>
  </si>
  <si>
    <t>featured</t>
  </si>
  <si>
    <t>yes</t>
  </si>
  <si>
    <t>title</t>
  </si>
  <si>
    <t>author</t>
  </si>
  <si>
    <t>chopin-in-paris</t>
  </si>
  <si>
    <t>description_long</t>
  </si>
  <si>
    <t>tags</t>
  </si>
  <si>
    <t>language_original</t>
  </si>
  <si>
    <t>English</t>
  </si>
  <si>
    <t>Polish</t>
  </si>
  <si>
    <t>translator</t>
  </si>
  <si>
    <t>Jarek Garlinski</t>
  </si>
  <si>
    <t>year</t>
  </si>
  <si>
    <t>series</t>
  </si>
  <si>
    <t>series_number</t>
  </si>
  <si>
    <t>shelf_order</t>
  </si>
  <si>
    <t>active</t>
  </si>
  <si>
    <t>izabela-the-valiant</t>
  </si>
  <si>
    <t>Classics</t>
  </si>
  <si>
    <t>The Doll</t>
  </si>
  <si>
    <t>the-doll</t>
  </si>
  <si>
    <t>Bolesław Prus</t>
  </si>
  <si>
    <t>David Welsh</t>
  </si>
  <si>
    <t>Anna Zaranko</t>
  </si>
  <si>
    <t>Władysław Reymont</t>
  </si>
  <si>
    <t>The Peasants</t>
  </si>
  <si>
    <t>the-peasants</t>
  </si>
  <si>
    <t>Pan Tadeusz: The Last Foray in Lithuania</t>
  </si>
  <si>
    <t>pan-tadeusz</t>
  </si>
  <si>
    <t>Adam Mickiewicz</t>
  </si>
  <si>
    <t>Bill Johnston</t>
  </si>
  <si>
    <t>Choucas</t>
  </si>
  <si>
    <t>Zofia Nałkowska</t>
  </si>
  <si>
    <t>Ursula Philips</t>
  </si>
  <si>
    <t>Henryk Sienkiewicz</t>
  </si>
  <si>
    <t>choucas</t>
  </si>
  <si>
    <t>A Summer of the Forest Folk</t>
  </si>
  <si>
    <t>Maria Rodziewiczówna</t>
  </si>
  <si>
    <t>Tom Pinch</t>
  </si>
  <si>
    <t>forest-folk</t>
  </si>
  <si>
    <t>desert-wilderness</t>
  </si>
  <si>
    <t>Andrew Anzur Clement</t>
  </si>
  <si>
    <t>In desert and wilderness</t>
  </si>
  <si>
    <t>Castorp</t>
  </si>
  <si>
    <t>Pawel Huelle</t>
  </si>
  <si>
    <t>Antonia Lloyd-Jones</t>
  </si>
  <si>
    <t>castorp</t>
  </si>
  <si>
    <t>Shah of Shahs</t>
  </si>
  <si>
    <t>Ryszard Kapuścinski</t>
  </si>
  <si>
    <t>The Emperor: Downfall of an Autocrat</t>
  </si>
  <si>
    <t>shah-of-shahs</t>
  </si>
  <si>
    <t>the-emperor</t>
  </si>
  <si>
    <t>Non-fiction</t>
  </si>
  <si>
    <t>Another Day of Life</t>
  </si>
  <si>
    <t>light-and-flame</t>
  </si>
  <si>
    <t>Aleksander Krawczuk</t>
  </si>
  <si>
    <t>Fiction</t>
  </si>
  <si>
    <t>A Meeting in Oea</t>
  </si>
  <si>
    <t>meeting-in-oea</t>
  </si>
  <si>
    <t>Seven Against Thebes</t>
  </si>
  <si>
    <t>Emperor Julian</t>
  </si>
  <si>
    <t>The Last Olympiad</t>
  </si>
  <si>
    <t>emperor-julian</t>
  </si>
  <si>
    <t>last-olympiad</t>
  </si>
  <si>
    <t>Polish History; Books in Focus</t>
  </si>
  <si>
    <t>Polish History</t>
  </si>
  <si>
    <t>solaris</t>
  </si>
  <si>
    <t>Solaris</t>
  </si>
  <si>
    <t>Stanisław Lem</t>
  </si>
  <si>
    <t>Joanna Kilmartin</t>
  </si>
  <si>
    <t>fiasco</t>
  </si>
  <si>
    <t>Fiasco</t>
  </si>
  <si>
    <t>Michael Kandel</t>
  </si>
  <si>
    <t>The Invincible</t>
  </si>
  <si>
    <t>Chahary</t>
  </si>
  <si>
    <t>melicles</t>
  </si>
  <si>
    <t>diossos</t>
  </si>
  <si>
    <t>Fiction; Young Adult</t>
  </si>
  <si>
    <t>Classics; Young Adult</t>
  </si>
  <si>
    <t>Melicles the Greek</t>
  </si>
  <si>
    <t>Diossos the Corinthian</t>
  </si>
  <si>
    <t>Witold Makowiecki</t>
  </si>
  <si>
    <t>The Ships of Minos</t>
  </si>
  <si>
    <t>The White Jaguar</t>
  </si>
  <si>
    <t>ships-minos-1</t>
  </si>
  <si>
    <t>white-jaguar-1</t>
  </si>
  <si>
    <t>chahary</t>
  </si>
  <si>
    <t>format_1</t>
  </si>
  <si>
    <t>format_2</t>
  </si>
  <si>
    <t>format_3</t>
  </si>
  <si>
    <t>Hardcover</t>
  </si>
  <si>
    <t>Paperback</t>
  </si>
  <si>
    <t>Ebook</t>
  </si>
  <si>
    <t>Jacek Bocheński</t>
  </si>
  <si>
    <t>Divine Julius</t>
  </si>
  <si>
    <t>Naso the Poet</t>
  </si>
  <si>
    <t>Tiberius Caesar</t>
  </si>
  <si>
    <t>divine-julius</t>
  </si>
  <si>
    <t>naso-the-poet</t>
  </si>
  <si>
    <t>tiberius-caesar</t>
  </si>
  <si>
    <t>The Roman Trilogy</t>
  </si>
  <si>
    <t>The Wonderful World of Maria Ro</t>
  </si>
  <si>
    <t>the-invincible</t>
  </si>
  <si>
    <t>seven-against-thebes</t>
  </si>
  <si>
    <t>another-day-of-life</t>
  </si>
  <si>
    <t>Poetry</t>
  </si>
  <si>
    <t>Czesław Miłosz</t>
  </si>
  <si>
    <t>Ecco</t>
  </si>
  <si>
    <t>Wisława Szymborska</t>
  </si>
  <si>
    <t>Mariner Books</t>
  </si>
  <si>
    <t>Mondrala Press</t>
  </si>
  <si>
    <t>Zbigniew Herbert</t>
  </si>
  <si>
    <t>Adam Zagajewski</t>
  </si>
  <si>
    <t>Without End: New and Selected Poems</t>
  </si>
  <si>
    <t>Farrar, Straus and Giroux</t>
  </si>
  <si>
    <t>Tadeusz Różewicz</t>
  </si>
  <si>
    <t>W. W. Norton</t>
  </si>
  <si>
    <t>Map: Collected and Last Poems</t>
  </si>
  <si>
    <t>Sobbing Superpower</t>
  </si>
  <si>
    <t>From the Tree of Knowledge</t>
  </si>
  <si>
    <t>Józef Wittlin</t>
  </si>
  <si>
    <t>Patrick John Corness</t>
  </si>
  <si>
    <t>Krzysztof Kamil Baczyński Poet of the Warsaw Uprising 1944: Saved poetry, manuscripts, and drawings</t>
  </si>
  <si>
    <t>Anna Mickiewicz, Tomasz Mickiewicz, Steve Rushton</t>
  </si>
  <si>
    <t>Krzysztof Kamil Baczynski</t>
  </si>
  <si>
    <t>White Magic and Other Poems</t>
  </si>
  <si>
    <t>without-end</t>
  </si>
  <si>
    <t>sobbing-superpower</t>
  </si>
  <si>
    <t>map-collected-and-last</t>
  </si>
  <si>
    <t>from-tree-of-knowledge</t>
  </si>
  <si>
    <t>white-magic-baczynski</t>
  </si>
  <si>
    <t>milosz-selected-and-last-poems</t>
  </si>
  <si>
    <t>Selected and Last Poems: 1931-2004</t>
  </si>
  <si>
    <t>Poems New And Collected: 1957-1997</t>
  </si>
  <si>
    <t>Harcourt</t>
  </si>
  <si>
    <t>poems-new-and-szymborska</t>
  </si>
  <si>
    <t>Poems</t>
  </si>
  <si>
    <t>Everyman's Library</t>
  </si>
  <si>
    <t>poems-herbert</t>
  </si>
  <si>
    <t>Joanna Trzeciak</t>
  </si>
  <si>
    <t>hc_publisher</t>
  </si>
  <si>
    <t>hc_price_usd</t>
  </si>
  <si>
    <t>hc_price_eur</t>
  </si>
  <si>
    <t>hc_price_gbp</t>
  </si>
  <si>
    <t>hc_supplier</t>
  </si>
  <si>
    <t>hc_sku</t>
  </si>
  <si>
    <t>hc_buy_link</t>
  </si>
  <si>
    <t>hc_isbn</t>
  </si>
  <si>
    <t>pb_publisher</t>
  </si>
  <si>
    <t>pb_price_usd</t>
  </si>
  <si>
    <t>pb_price_eur</t>
  </si>
  <si>
    <t>pb_price_gbp</t>
  </si>
  <si>
    <t>pb_supplier</t>
  </si>
  <si>
    <t>pb_sku</t>
  </si>
  <si>
    <t>pb_buy_link</t>
  </si>
  <si>
    <t>pb_isbn</t>
  </si>
  <si>
    <t>eb_publisher</t>
  </si>
  <si>
    <t>eb_price_usd</t>
  </si>
  <si>
    <t>eb_price_eur</t>
  </si>
  <si>
    <t>eb_price_gbp</t>
  </si>
  <si>
    <t>eb_supplier</t>
  </si>
  <si>
    <t>eb_sku</t>
  </si>
  <si>
    <t>eb_buy_link</t>
  </si>
  <si>
    <t>eb_isbn</t>
  </si>
  <si>
    <t>shelves</t>
  </si>
  <si>
    <t>Czesław Miłosz, Literature Nobel Prize 1980</t>
  </si>
  <si>
    <t>Zbigniew Nienacki</t>
  </si>
  <si>
    <t>Mr. Wheels and the Templar Treasure</t>
  </si>
  <si>
    <t>Mr. Wheels and the Mystery of Mysteries</t>
  </si>
  <si>
    <t>Mr. Wheels and the Mysteries of the City of Copernicus</t>
  </si>
  <si>
    <t>Mr. Wheels and the Island of Bandits</t>
  </si>
  <si>
    <t>wheels-templars</t>
  </si>
  <si>
    <t>wheels-copernicus</t>
  </si>
  <si>
    <t>wheels-bandits</t>
  </si>
  <si>
    <t>wheels-mysteries</t>
  </si>
  <si>
    <t>Mr. Wheels has been a huge smash hit in Eastern Europe for decades. 160 volumes of fan fiction (!), three cinematic releases (including one in 2023), two TV series.
But never a peep in English!?
Until now.
A great fan franchise, comparable to the British Sherlock Holmes and the French Inspector Maigret, the Polish Mr. Wheels---the bumbling art detective with his iconic self-built car--has been solving art mysteries for sixty years. The humorous tales with a delightful procession of quirky characters concern theft and fraud in the art world and the villains are usually gentlemen (and gentlewomen) thieves. And usually, there is a great historical tale in the background.
In this, the third book in the series, we turn to the first adventure of the Intrepid Art Detective.
In 1961, fifteen years after the end of World War II, the wounds of war are still fresh, including those inflicted by a gang of marauders commanded by a bandit nicknamed Barabas. Following the fall of the Third Reich and taking advantage of the period of instability that existed for months afterwards, Barabas and his villains terrorized the countryside from a base of operations on an island on the Vistula, 70 miles north of Warsaw. They were eventually captured and imprisoned and this put an end to their robberies; but even from their prison cells, the gangsters' tentacles still reach back to their old base to guard the treasure they had buried somewhere in the area. And now, several mysterious agents compete to unearth the treasure and solve the mysteries of the Island of Bandits and--we are introduced to several characters who will become a permanent fixture in the series.
Take a cruise on the shallows of the Vistula with a European classic, pick up your copy today.</t>
  </si>
  <si>
    <t>Mr. Wheels has been a huge smash hit in Europe for decades. 160 volumes of fan fiction (!), three cinematic releases (including one in 2023), two TV series.
But never a peep in English!
Until now.
(drum roll)
Voice One, dramatic:
In 1310, King Philip the Fair of France, ever-short-of-cash, decided to rob the Sacred Order of the Knights Templar in order to steal their treasure. He accused them of devil worship and sodomy and burned them at the stake. But actually robbing them proved more difficult: sensing their impending doom, the crafty monks had buried their treasure. And really well, too: it has never been found. And it has been the object of dreams, obsessions, and treasure hunts ever since.
And now... in a caste in Scotland, a document comes to light, according to which that treasure has been buried... in a Teutonic castle in Poland!
Voice Two, calm and rational:
Unlike the English Sherlock Holmes or the French inspector Maigret, the Polish Mr. Wheels does not deal with perverse monsters, or serial killers, or cannibals; instead, he tracks gentlemen (and gentlewomen) thieves, forgers, and smugglers of... art. His mysteries come with the sort of original settings, fast action, humor, and attractive characters you expect from a mystery best-seller but also feature something unique: each has its own fascinating historical tale in the background.
Try it. It's just $2.99. We bet you will read the whole series.</t>
  </si>
  <si>
    <t>Mr. Wheels has been a huge smash hit in Eastern Europe for decades. 160 volumes of fan fiction (!), three cinematic releases (including one in 2023), two TV series.
But never a peep in English!?
Until now.
In February 1945, the Soviet Front came suddenly to Frombork, the city of Copernicus on the Baltic. Too suddenly for SS Colonel Koenig to get away with his loot. In panic, the man in charge of robbing precious Polish art collections decided to hide away his loot, hoping to return to collect it after the war. Alas--he was killed by a stray bullet that very afternoon.
When now, unexpectedly, his notebook comes to light, it sparks a race to discover his hidden treasure, a race between the detectives of the Polish Ministry of Culture and a gang of art thieves.
Will Mr. Wheels beat the thieves to it? Or will his colleague, Dr. Parsley, PhD, get the prize? And who will break the detectives' heart this time, the mysterious brunette with an hour-glass figure and a red Ford Mustang? Or the petite blonde with a terrifying robot at her service?
And who is Cagliostro Count Balsamo?
Find out. Pick up your copy today!</t>
  </si>
  <si>
    <t>Mr. Wheels has been a huge smash hit in Eastern Europe for decades. 160 volumes of fan fiction (!), three cinematic releases (including one in 2023), two TV series.
But never a peep in English!?
Until now.
(drum roll)
In this installment, Mr. Wheels goes against a ring of icon smugglers and find himself in the magical city of Prague, pitted in a race against... the secret society of Rosicrucians trying to recover ancient jewels buried somewhere in the city by the accomplices of the English wizard, John Dee.
Delve into the fascinating world of Renaissance magic, pick up your copy today.</t>
  </si>
  <si>
    <t>new-poems-ukr-po</t>
  </si>
  <si>
    <t>Encounters: New Poems from Ukraine and Poland</t>
  </si>
  <si>
    <t>various</t>
  </si>
  <si>
    <t>The anthology of poetry which we present here to readers of English bears witness to the enduring cultural community that has existed between Ukraine and Poland for centuries and which now has the occasion to grow even stronger. The book contains poetry from men and women of different generations and poetics. It is not an anthology of war poetry, although verse documenting the tragedy of Ukraine and her heroic defense occupy a special place within it. Different poetic idioms, creative personalities, life experiences, and perspectives on literature meet in this work to create a rich and many-colored picture of a literary world caught in the midst of some of the most important political events of our time.
The poets featured in this collection are among the most interesting and most important poets of recent decades.There are nine Poles:
-Justyna Bargielska
-Artur Grabowski,
-Roman Honet
-Wojciech Kass
-Krzysztof Koehler
-Jan Polkowski
-Dariusz Suska
-Janusz Szuber
-Mirka Szychowiak
and eight Ukrainians
-Natalia Belchenko
-Halyna Kruk
-Myroslav Laiuk
-Olesia Mamchych
-Iryna Shuvalova
-Yury Zavadsky
-Serhiy Zhadan
It features translations by:
-Patrick John Corness
-Charles S. Kraszewski
-Amelia Glaser and Yuliya Ilchuk
-Yuliya Musakovska
-Les Wicks
While all have seen their work translated into foreign languages, all poems included in this collection appear in English for the first time.</t>
  </si>
  <si>
    <t>krzysztof-kamil-baczynski</t>
  </si>
  <si>
    <t>praise_1_quote</t>
  </si>
  <si>
    <t>praise_2_quote</t>
  </si>
  <si>
    <t>&lt;p.PA European Best-seller classic, continuously in print since 1946, now for the first time in English.&lt;/p&gt;
&lt;p&gt;570 B.C.&lt;/p&gt;
&lt;p&gt; They slip their jailors in Carthage and rush across the Mediterranean pursued by enemy agents and assassins: a mysterious oriental priest and his Greek apprentice. Their mission: to prevent the outbreak of a civil war in Egypt. Their opponents: the Great Phoenician Council and the entire state apparatus of Eternal Egypt. Their resources: the old man's wit and the young man's courage.&lt;/p&gt;
&lt;p&gt;A classic tale of high adventure, full of white-knuckle twists and turns, engaging characters, and sparkling humor. A European best-seller since 1946 now beautifully translated into English. If you liked &lt;em&gt;The Treasure Island&lt;/em&gt; and &lt;em&gt;The Three Musketeers&lt;/em&gt;, you will love this.&lt;/p&gt;
&lt;p&gt;&lt;strong&gt;Get whisked off into the exotic, exciting world of classical antiquity! Pick up your copy today!&lt;/strong&gt;&lt;/P&gt;</t>
  </si>
  <si>
    <t>praise_1_source</t>
  </si>
  <si>
    <t>praise_2_source</t>
  </si>
  <si>
    <t>"The best historical adventure series of the interwar period."</t>
  </si>
  <si>
    <t>"This is literature how it should be written regardless of genre! I absolutely loved it!"</t>
  </si>
  <si>
    <t>Michelle Jacqueline Miller, author of "Fire in Erebus"</t>
  </si>
  <si>
    <t>cold-sea</t>
  </si>
  <si>
    <t>Cold Sea Stories</t>
  </si>
  <si>
    <t>Paweł Huelle</t>
  </si>
  <si>
    <t>&lt;p&gt;A student pedals an old Ukraina bicycle between striking factories, delivering bulletins, in the tumultuous first days of the Solidarity movement...&lt;/p&gt;
&lt;p&gt;A shepherd watches, unseen, as a strange figure disembarks from a pirate ship anchored in the cove below, to bury a chest on the beach that later proves empty…&lt;/p&gt;
&lt;p&gt;A prisoner in a Berber dungeon recounts his life’s story – the failed pursuit of the world’s very first language – by scrawling in the sand on his cell floor…&lt;/p&gt;
&lt;p&gt;The characters in Pawel Huelle’s mesmerising stories find themselves, willingly or not, at the heart of epic narratives; legends and histories that stretch far beyond the limits of their own lives. Against the backdrop of the Baltic coast, mythology and meteorology mix with the inexorable tide of political change: Kashubian folklore, Chinese mysticism and mediaeval scholarship butt up against the war in Chechnya, 9-11, and the struggle for Polish independence.&lt;/p&gt;
&lt;p&gt;Central to Huelle’s imagery is the vision of the refugee – be it the Chechen woman carrying her newborn child across the Polish border (her face emblazoned on every TV screen), the survivor of the Gulag re-appearing on his friends’ doorstep, years after being presumed dead, or the stranger who befriends the sole resident of a ghostly Mennonite village in the final days of the Second World War. Each refugee carries a clue, it seems, or is in possession or pursuit of some mysterious text or book, knowing that only it – like the Chinese ‘Book of Changes’ – can decode their story.
What we do with this text, this clue, Huelle seems to say, is up to us.&lt;/p&gt;</t>
  </si>
  <si>
    <t>Young Adult</t>
  </si>
  <si>
    <t>saragossa</t>
  </si>
  <si>
    <t>&lt;p&gt;It is 1739 and Alphonse van Worden, a Walloon officer serving the King of Spain, spends the night in a haunted inn in the Sierra Morena where he is plunged into a series of adventures, by turns mysterious, erotic and nightmarish. Convinced that he is being hunted by the Inquisition, he joins a band of wanderers - including a gypsy chief, a geometer, a cabbalist and the Wandering Jew himself - who travel aimlessly while regaling their companions with a hundred and more stories, and stories within stories, told over the course of sixty-six 'days', each day as disorienting as a thousand and one nights.&lt;/p&gt;
&lt;p&gt;And this nest of stories frames yet more stories driving the reader ever deeper into a labyrinth of sadism, satanism, the cabbala and other phantoms brought forth by the sleep of eighteenth-century Reason. For as well as being one of the great masterpieces of subversion, The Manuscript Found in Saragossa is also an encyclopedia of the dark side of the European Enlightenment.&lt;/p&gt;
&lt;p&gt;&lt;em&gt;The Manuscript Found in Saragossa&lt;/em&gt; was written in French, probably between 1797 and 1815; this new translation makes the full text available in English for the first time.&lt;/p&gt;</t>
  </si>
  <si>
    <t>The Manuscript Found in Saragossa</t>
  </si>
  <si>
    <t>Jan Potocki</t>
  </si>
  <si>
    <t>Viking Adult</t>
  </si>
  <si>
    <t>birch-grove</t>
  </si>
  <si>
    <t>Jarosław Iwaszkiewicz</t>
  </si>
  <si>
    <t>Central European University Press</t>
  </si>
  <si>
    <t>Jaroslaw Iwaszkiewicz's work is familiar to every Polish reader, yet remains unknown to the outside world. The stories in this selection were all written in the 1930s, and provide an extraordinary evocation of Poland's first brief era of independence between the wars. They are also timeless sonatas of love and loss. In 'A New Love', Iwaszkiewicz uses masterful brevity to take a wry, comical look at the illusion of romance from the viewpoint of a jaded, cynical lover. One of his best-known works, 'The Wilko Girls', tells of a middle-aged man's quest to recover his lost youth in the aftermath of the First World War, which has left him psychologically scarred. He travels to the scene of his pre-war summer holidays in the eastern borderlands, where he renews his friendship with the fascinating sisters whom he knew when they were girls. But no one is the same and nothing can be as it was. 'The Birch Grove' is the moving story of a woodsman who, spiritually destroyed by the death of his wife, has buried himself away in an isolated forest. When his lively younger brother unexpectedly comes to stay, his self-centred peace is disrupted. But his brother has come home to die. The lives of two young men, one a deeply religious poet, the other a sceptical, worldly estate owner, are touchingly contrasted in 'The Mill on the River Utrata'. Confirming these stories' central place in Polish cultural history, 'The Wilko Girls' and 'The Birch Grove' were made into classic films by Andrzej Wajda, Poland's leading director.</t>
  </si>
  <si>
    <t>The Danton Case and Thermidor: Two Plays</t>
  </si>
  <si>
    <t>danton-thermidor</t>
  </si>
  <si>
    <t>Stanislawa Przybyszewska</t>
  </si>
  <si>
    <t xml:space="preserve"> Boleslaw Taborski</t>
  </si>
  <si>
    <t>Northwestern University Press</t>
  </si>
  <si>
    <t>Stanislawa Przybyszewska is recognized as a major twentieth-century playwright on the basis of her trilogy about the French Revolution, of which The Danton Case and Thermidor are the principal parts. The Danton Case depicts the battle for power between two exceptional individuals: the corrupt sentimental idealist, Danton, and the incorruptible genius of the Revolution, Robespierre. Thermidor shows the final playing out of this drama, as Robespierre, left alone with the heroic absolutist Saint-Just, foresees the ruin of himself and his cause, and in his despair predicts that hatred, war, and capitalism will steal the Revolution and corrupt nineteenth-century man.</t>
  </si>
  <si>
    <t>coming-spring</t>
  </si>
  <si>
    <t>Coming Spring</t>
  </si>
  <si>
    <t>The Coming Spring (Przedwiosnie), Zeromski's last novel, tells the story of Cezary Baryka, a young Pole who finds himself in Baku, Azerbaijan, then a predominantly Armenian city, as the Russian Revolution breaks out. He becomes embroiled in the chaos caused by the revolution, and barely escapes with his life. Then, he and his father set off on a horrendous journey west to reach Poland. His father dies en route, but Cezary makes it to the newly independent Poland. Cezary sees the suffering of the poor, yet his experiences in the newly formed Soviet Union make him suspicious of socialist and communist solutions. He is an outsider among both the gentry and the working classes, and he cannot find where he belongs. Furthermore, he has unsuccessful and tragic love relations. The novel ends when, despite his profound misgivings, he takes up political action on behalf of the poor. Zeromski, whose vivid, assured style is instantly recognizable, was a writer with a strong social conscience, taking up the concerns of the poor and downtrodden.</t>
  </si>
  <si>
    <t>Stefan Żeromski</t>
  </si>
  <si>
    <t>Ian Maclean</t>
  </si>
  <si>
    <t>&lt;p&gt;&lt;strong&gt;“Although he was nominated for the Nobel Prize in literature four times, Stefan Żeromski’s work is not as widely known outside Poland as it should be. Thus this elegant translation is most welcome . . . A beautiful, prescient story.”
—Celia Jeffries, author of Blue Desert&lt;/strong&gt;&lt;/p&gt;
&lt;p&gt;&lt;strong&gt;The first contemporary English edition of a Polish masterpiece&lt;/strong&gt;&lt;/p&gt;
&lt;p&gt;&lt;strong&gt;Beautifully translated by Stephanie Kraft, this new edition includes an Introduction by Jennifer Croft and Boris Dralyuk.&lt;/strong&gt;&lt;/p&gt;
&lt;p&gt;Tomasz Judym was born in a slum in Warsaw. Against all odds, he has become a doctor, and he finds that his driving motivation to treat disadvantaged people like those he grew up with is at odds with the expectations of his peers. He sees the unhealthy working and living conditions of the working class in twentieth-century Poland wearing on those around him, even as he strives to help them. As he battles alone to do the kind of work that boards of health and other agencies do today, Dr. Judym wrestles inwardly with feelings of inferiority and revulsion caused by his difficult childhood. His mission takes him out of the city and into the countryside, bringing him into conflict with his other desires, and the love that he feels for a sympathetic woman whose background differs fundamentally from his own.&lt;/p&gt;
&lt;p&gt;The Homeless combines concrete detail about social issues—the urgent need for public hygiene and access to medical treatment, the effects of industrialization on health and the landscape, and the disinterest that people in power have in the disadvantaged—with beautiful, artistic passages of prose that sensitively probe the characters’ inner lives. The title comes not from the obvious reference to the impoverished people Dr. Judym concerns himself with, but from the unmoored status of the protagonist, the woman he loves, a mysterious engineer friend of his, his brother, and many others who find themselves rootless—emotionally and physically alienated by class divides and the social upheaval of industrialization. The Homeless is a portrait of the time and place it was written—Poland on the precipice of the twentieth century—that speaks to our current time and place.&lt;/p&gt;</t>
  </si>
  <si>
    <t>The Homeless</t>
  </si>
  <si>
    <t>Stefanie Kraft</t>
  </si>
  <si>
    <t>Paul Dry Books</t>
  </si>
  <si>
    <t>The Birch Grove and Other Stories</t>
  </si>
  <si>
    <t>The Intriguing Life and Ignominious Death of Maurice Benyovszky</t>
  </si>
  <si>
    <t>Andrew Drummond</t>
  </si>
  <si>
    <t>Routledge</t>
  </si>
  <si>
    <t>&lt;p&gt;Published in 1790, Maurice Benyovszky’s posthumous memoir was an instant sensation. A tale of exploration and adventure beginning with his daring escape from a Siberian prison and ending with his coronation as King of Madagascar, it was translated into several languages and adapted for the theatre and opera. This book explores the veracity of this memoir and, more broadly, the challenges faced by the explorers of the age and the brutality of colonisation.&lt;/p&gt;
&lt;p&gt;The self-styled Hungarian Baron Maurice Auguste Aladar Benyovszky, Counsellor to the Duke of Saxony and Colonel in the service of the Queen of Hungary, was in fact only confirmed to have been an officer in a regiment of the Polish Confederation of Bar. While he did escape from Russian captors and subsequently travel to Japan, Formosa, China and Madagascar, many of his exploits were wildly exaggerated or simply invented. Andrew Drummond reveals an alternative picture of events by looking at statements from Benyovszky’s travelling companions and sceptical officials as well as contemporary documents from the places he claimed to have visited, untangling the truth behind his stories and examining what these stories can nonetheless tell us about the era in which Benyovszky lived.&lt;/p&gt;
&lt;p&gt;Witty and engagingly written, this book is fascinating reading for anyone interested in eighteenth-century colonial history and the story of early European and Russian explorers.&lt;/p&gt;</t>
  </si>
  <si>
    <t>beniowski</t>
  </si>
  <si>
    <t>witcher-set</t>
  </si>
  <si>
    <t>The Witcher Boxed Set: Blood of Elves, The Time of Contempt, Baptism of Fire, The Tower of Swallows, The Lady of the Lake</t>
  </si>
  <si>
    <t>Andrzej Sapkowski</t>
  </si>
  <si>
    <t>Danusia Stok, David French</t>
  </si>
  <si>
    <t>Orbit</t>
  </si>
  <si>
    <t>&lt;p&gt;Andrzej Sapkowski created an international phenomenon with his New York Times bestselling epic fantasy series about Geralt of Rivia, which has gone on to inspire the hit Netflix show and the blockbuster video games. Now, for the first time in a single boxed set, and featuring stunning new cover designs, the five novels that comprise the Witcher Saga: Blood of Elves, The Time of Contempt, Baptism of Fire,The Tower of Swallows, and Lady of the Lake.&lt;/p&gt;
&lt;p&gt;★ The New York Times bestselling series&lt;/p&gt;
&lt;p&gt;★ Over Fifteen Million Copies Sold Worldwide&lt;/p&gt;
&lt;p&gt;★ World Fantasy Award Winning Author&lt;/p&gt;
&lt;p&gt;★ David Gemmell Legend Award Winning Author&lt;/p&gt;
&lt;p&gt;★ Named One of the Greatest Book Series of All Time by Forbes&lt;/p&gt;
&lt;p&gt;For over a century, humans, dwarves, gnomes, and elves have lived together in relative peace. But times have changed, the uneasy peace is over, and now the races are fighting once again. &lt;/p&gt;
&lt;p&gt;Geralt of Rivia, the hunter known as the Witcher, has been waiting for the birth of a prophesied child. This child has the power to change the world—for good, or for evil.&lt;/p&gt;
&lt;p&gt;As the threat of war hangs over the land the child, Ciri, is hunted for her extraordinary powers. Geralt and his allies, including the powerful sorceress Yennefer, must find a way to protect her, and to protect the world. And the Witcher never accepts defeat.&lt;/p&gt;</t>
  </si>
  <si>
    <t>tower-fools</t>
  </si>
  <si>
    <t>The Tower of Fools</t>
  </si>
  <si>
    <t>David French</t>
  </si>
  <si>
    <t>"A fantastic novel that any fan of The Witcher will instantly appreciate." —The Gamer&lt;/p&gt;
&lt;p&gt;Andrzej Sapkowski's Witcher series has become a fantasy phenomenon, finding millions of fans worldwide and inspiring the hit Netflix show and video games. Now the bestselling author introduces readers to a new hero on an epic journey in The Tower of Fools, the first book of the Hussite Trilogy.&lt;/p&gt;
&lt;p&gt;Reinmar of Bielawa, sometimes known as Reynevan, is a healer, a magician, and according to some, a charlatan. When a thoughtless indiscretion forces him to flee his home, he finds himself pursuednot only by brothers bent on vengeance but by the Holy  Inquisition.&lt;/p&gt;
&lt;p&gt;In a time when tensions between Hussite and Catholic countries are threatening to turn into war and mystical forces are gathering in the shadows, Reynevan's journey will lead him to the Narrenturm—the Tower of Fools.&lt;/p&gt;
&lt;p&gt;The Tower is an asylum for the mad...or for those who dare to think differently and challenge the prevailing order. And escaping it, avoiding the conflict around him, and keeping his own sanity will prove more difficult than he ever imagined&lt;/p&gt;
&lt;p&gt;"A ripping yarn delivered with world-weary wit, bursting at the seams with sex, death, magic and madness." —Joe Abercrombie&lt;/p&gt;
&lt;p&gt;"This is historical fantasy done right." —Publishers Weekly (starred review)&lt;/p&gt;
&lt;p&gt;"A highly enjoyable historical fantasy." —Booklist&lt;/p&gt;
&lt;p&gt;The Tower of Fools is an historical novel set during the Hussite Wars in Bohemia during the 1400s, a period of religious conflict and persecution. Characters in the novel may express views that some readers might find offensive.&lt;/p&gt;</t>
  </si>
  <si>
    <t>The Hussite Trilogy</t>
  </si>
  <si>
    <t>warrior-god</t>
  </si>
  <si>
    <t>Warriors of God</t>
  </si>
  <si>
    <t>&lt;p&gt;From the New York Times bestselling author of The Witcher: Reynevan—scoundrel, magician, possibly a fool—travels into the depths of war as he attempts to navigate the religious fervors of the fifteenth century.&lt;/p&gt;
&lt;p&gt;When the Hussite leaders entrust Reynevan with a dangerous secret mission, he is forced to come out of hiding in Bohemia and depart for Silesia. At the same time, he strives to avenge the death of his brother and discover the whereabouts of his beloved. Once again pursued by multiple enemies, he must contend with danger on every front. &lt;/p&gt;
&lt;p&gt;Full of gripping action replete with twists and mysteries, seasoned with magic and Sapkowski's ever-present wit, fans of the Witcher will appreciate this rich historical epic set during the Hussite Wars. &lt;/p&gt;
&lt;p&gt;Praise for the The Tower of Fools, book one of the Hussite Trilogy:&lt;/p&gt;
"This is historical fantasy done right." —Publishers Weekly (starred review)&lt;/p&gt;
&lt;p&gt;“A fantastic novel that any fan of The Witcher will instantly appreciate.” —The Gamer&lt;/p&gt;
&lt;p&gt;“A ripping yarn delivered with world-weary wit, bursting at the seams with sex, death, magic and madness.” —Joe Abercrombie &lt;/p&gt;
&lt;p&gt;“Sapkowski's energetic and satirical prose as well as the unconventional setting makes this a highly enjoyable historical fantasy.” —Booklist&lt;/p&gt;</t>
  </si>
  <si>
    <t>light-perpetua</t>
  </si>
  <si>
    <t>Light Perpetua</t>
  </si>
  <si>
    <t>&lt;p&gt;From the globally bestselling author of The Witcher comes the final book in the rich historical epic, the Hussite trilogy. Join Reynevan—scoundrel, magician, possibly a fool—as he embarks on a last great adventure across the war-riddled landscape of 15th century Bohemia.&lt;/p&gt;
&lt;p&gt;After his adventures in The Tower of Fools and Warriors of God, Reynevan is on the run again, harried by enemies—some human, and some mystical—at every turn. These are cruel and dangerous times for a man such as Reynevan, and to survive, he must set aside his history as a peaceful healer and idealist and play the brutal role of Hussite spy as crusades sweep through Silesia and the Czech Republic, and the world around him is forever changed.&lt;/p&gt;
&lt;p&gt;Praise for the Hussite Trilogy:&lt;/p&gt;
&lt;p&gt;“A ripping yarn delivered with world-weary wit, bursting at the seams with sex, death, magic and madness.” —Joe Abercrombie &lt;/p&gt;
&lt;p&gt;"This is historical fantasy done right." —Publishers Weekly (starred review)&lt;/p&gt;
&lt;p&gt;“A fantastic novel that any fan of The Witcher will instantly appreciate.” —The Gamer&lt;/p&gt;
&lt;p&gt;“Sapkowski's energetic and satirical prose as well as the unconventional setting makes this a highly enjoyable historical fantasy.” —Booklist&lt;/p&gt;</t>
  </si>
  <si>
    <t>red-prince</t>
  </si>
  <si>
    <t>The Red Prince: The Fall of a Dynasty and the Rise of Modern Europe</t>
  </si>
  <si>
    <t>Timothy Snyder</t>
  </si>
  <si>
    <t>Vintage</t>
  </si>
  <si>
    <t>Wilhelm Von Habsburg wore the uniform of the Austrian officer, the court regalia of a Habsburg archduke, the simple suit of a Parisian exile, the collar of the Order of the Golden Fleece, and, every so often, a dress. He could handle a saber, a pistol, a rudder, or a golf club; he handled women by necessity and men for pleasure. He spoke the Italian of his archduchess mother, the German of his archduke father, the English of his British royal friends, the Polish of the country his father wished to rule, and the Ukrainian of the land Wilhelm wished to rule himself. In this exhilarating narrative history, prize-winning historian Timothy D. Snyder offers an indelible portrait of an aristocrat whose life personifies the wrenching upheavals of the first half of the twentieth century, as the rule of empire gave way to the new politics of nationalism. Coming of age during the First World War, Wilhelm repudiated his family to fight alongside Ukrainian peasants in hopes that he would become their king. When this dream collapsed he became, by turns, an ally of German imperialists, a notorious French lover, an angry Austrian monarchist, a calm opponent of Hitler, and a British spy against Stalin. Played out in Europe's glittering capitals and bloody battlefields, in extravagant ski resorts and dank prison cells, The Red Prince captures an extraordinary moment in the history of Europe, in which the old order of the past was giving way to an undefined future-and in which everything, including identity itself, seemed up for grabs.</t>
  </si>
  <si>
    <t>the-homeless</t>
  </si>
  <si>
    <t>adam-mickiewicz</t>
  </si>
  <si>
    <t>Adam Mickiewicz: The Life of a Romantic</t>
  </si>
  <si>
    <t>Roman Koropeckyj</t>
  </si>
  <si>
    <t>&lt;p&gt;Adam Mickiewicz (1798–1855), Poland's national poet, was one of the extraordinary personalities of the age. In chronicling the events of his life-his travels, numerous loves, a troubled marriage, years spent as a member of a heterodox religious sect, and friendships with such luminaries of the time as Aleksandr Pushkin, James Fenimore Cooper, George Sand, Giuseppe Mazzini, Margaret Fuller, and Aleksandr Herzen-Roman Koropeckyj draws a portrait of the Polish poet as a quintessential European Romantic.&lt;/p&gt;
&lt;p&gt;Spanning five decades of one of the most turbulent periods in modern European history, Mickiewicz's life and works at once reflected and articulated the cultural and political upheavals marking post-Napoleonic Europe. After a poetic debut in his native Lithuania that transformed the face of Polish literature, he spent five years of exile in Russia for engaging in Polish "patriotic" activity. Subsequently, his grand tour of Europe was interrupted by his country's 1830 uprising against Russia; his failure to take part in it would haunt him for the rest of his life. For the next twenty years Mickiewicz shared the fate of other Polish émigrés in the West. It was here that he wrote Forefathers' Eve, part 3 (1832) and Pan Tadeusz (1834), arguably the two most influential works of modern Polish literature. His reputation as his country's most prominent poet secured him a position teaching Latin literature at the Academy of Lausanne and then the first chair of Slavic Literature at the Collége de France. In 1848 he organized a Polish legion in Italy and upon his return to Paris founded a radical French-language newspaper. His final days were devoted to forming a Polish legion in Istanbul.&lt;/p&gt;
&lt;p&gt;This richly illustrated biography-the first scholarly biography of the poet to be published in English since 1911-draws extensively on diaries, memoirs, correspondence, and the poet's literary texts to make sense of a life as sublime as it was tragic. It concludes with a description of the solemn transfer of Mickiewicz's remains in 1890 from Paris to Cracow, where he was interred in the Royal Cathedral alongside Poland's kings and military heroes.&lt;/p&gt;</t>
  </si>
  <si>
    <t>Cornell University Press</t>
  </si>
  <si>
    <t>Forefathers' Eve</t>
  </si>
  <si>
    <t>forefathers-eve</t>
  </si>
  <si>
    <t>&lt;p&gt;Forefathers' Eve [Dziady] is a four-part dramatic work begun circa 1820 and completed in 1832 - with Part I published only after the poet's death, in 1860. The drama's title refers to Dziady, an ancient Slavic and Lithuanian feast commemorating the dead. This is the grand work of Polish literature, and it is one that elevates Mickiewicz to a position among the "great Europeans" such as Dante and Goethe.&lt;/p&gt;
&lt;p&gt;With its Christian background of the Communion of the Saints, revenant spirits, and the interpenetration of the worlds of time and eternity, Forefathers' Eve speaks to men and women of all times and places. While it is a truly Polish work - Polish actors covet the role of Gustaw/Konrad in the same way that Anglophone actors covet that of Hamlet - it is one of the most universal works of literature written during the nineteenth century. It has been compared to Goethe's Faust - and rightfully so. Forefathers' Eve initiated the great contribution of Poland to world theatre: Monumental Drama, which stretches from him through Stanislaw Wyspiański to Tadeusz Kantor in our own day and age.&lt;/p&gt;
&lt;p&gt;The present translation of Adam Mickiewicz's Forefathers' Eve is the first complete verse translation of the cycle published in English. It has been put to use in its entirety by the Teatr Polski in Wroclaw, and partially set to music by Arturas Bumsteinas in his contemporary orchestral work Different Trains (2014).&lt;/p&gt;</t>
  </si>
  <si>
    <t>Glagoslav Publications B.V.</t>
  </si>
  <si>
    <t>Charles S. Kraszewski</t>
  </si>
  <si>
    <t>Ballads and Romances</t>
  </si>
  <si>
    <t>ballads-romances</t>
  </si>
  <si>
    <t>&lt;p&gt;An even two hundred years have passed since the first publication of Adam Mickiewicz's Ballads and Romances - a collection of lyrics which has the same significance for Polish literature as Wordsworth and Coleridge's Lyrical Ballads has for the English.&lt;/p&gt;
&lt;p&gt;Poems of love, the supernatural, and the exotic, Mickiewicz's first volume of poetry achieved a level of sublimity that immediately set him at the head of all Polish writers - a position he sustained throughout his life with his lyrical, narrative, dramatic, and epic poetry, and which he continues to hold today. In cooperation with the Polish Cultural Institute of London, Glagoslav brings out an anniversary edition of Mickiewicz's Ballads and Romances in the English translation of Charles S. Kraszewski.&lt;/p&gt;
&lt;p&gt;The collection includes all the poems of the 1822 edition, plus the ballads added shortly before the poet's death to the 1852, Leipzig edition.&lt;/p&gt;</t>
  </si>
  <si>
    <t>native-realm</t>
  </si>
  <si>
    <t>Native Realm: A Search for Self-Definition</t>
  </si>
  <si>
    <t xml:space="preserve">Catherine S. Leach </t>
  </si>
  <si>
    <t>&lt;p&gt;The autobiography of the Nobel laureate&lt;/p&gt;
&lt;p&gt;Before he emigrated to the United States, Czeslaw Milosz lived through many of the social upheavals that defined the first half of the twentieth century. Here, in this compelling account of his early life, the author sketches his moral and intellectual history from childhood to the early fifties, providing the reader with a glimpse into a way of life that was radically different from anything an American or even a Western European could know.&lt;/p&gt;
&lt;p&gt;Using the events of his life as a starting point, Native Realm sets out to explore the consciousness of a writer and a man, examining the possibility of finding glimmers of meaning in the midst of chaos while remaining true to oneself.&lt;/p&gt;
&lt;p&gt;In this beautifully written and elegantly translated work, Milosz is at his very best.&lt;/p&gt;</t>
  </si>
  <si>
    <t>history-lit-milosz</t>
  </si>
  <si>
    <t>The History of Polish Literature</t>
  </si>
  <si>
    <t>University of California Press</t>
  </si>
  <si>
    <t>Postwar Polish Poetry</t>
  </si>
  <si>
    <t>postwar-polish-poetry</t>
  </si>
  <si>
    <t>Czesław Miłosz (ed.)</t>
  </si>
  <si>
    <t>A survey of Polish letters and culture from its beginnings to modern times. Czeslaw Milosz updated this edition in 1983 and added an epilogue to bring the discussion up to date.</t>
  </si>
  <si>
    <t xml:space="preserve">The 1980 edition of Postwar Polish Poetry (which was originally published in 1965) presents 125 poems by 25 poets, including Czeslaw Milosz and other Polish poets living outside Poland. </t>
  </si>
  <si>
    <t>captive-mind</t>
  </si>
  <si>
    <t>The Captive Mind</t>
  </si>
  <si>
    <t>The best known prose work by the winner of the 1980 Nobel Prize for Literature examines the moral and intellectual conflicts faced by men and women living under totalitarianism of the left or right.</t>
  </si>
  <si>
    <t>Selected Masterpieces of Polish Poetry</t>
  </si>
  <si>
    <t>selected-masterpieces</t>
  </si>
  <si>
    <t>Jarek Zawadzki</t>
  </si>
  <si>
    <t>The selection of poems in this anthology may seem a bit unorthodox for Polish literature experts. I have no degree or expertise in any sort of literary research, which may well be the reason for my bizarre taste as presented here. I have tried my very best to include mainly those poems that are obligatory readings in Polish high schools, so that the English Reader can have the chance to get to know a portion of the choicest Polish poetry that an average Pole has willy-nilly come across in his life (one of the poems happens to be a well-known Christmas carol, even).</t>
  </si>
  <si>
    <t>Genre Fiction</t>
  </si>
  <si>
    <t>Serpent's Tail</t>
  </si>
  <si>
    <t>Young Adult; Genre Fiction</t>
  </si>
  <si>
    <t xml:space="preserve">Hyenas &amp; Lotuses: A Novel from the Time of Ancient Egypt </t>
  </si>
  <si>
    <t>hyenas-lotuses</t>
  </si>
  <si>
    <t>Andrzej Niwinski</t>
  </si>
  <si>
    <t>Royal Hawaiian Press</t>
  </si>
  <si>
    <t>Hyenas and Lotuses is a novel taking place in the 11th century BC, with the historical background of the authentic dramatic events of that era. The novel is a result of many years of research. All characters are well embedded in historical realities, similarly events of everyday life (the way of eating meals, the way of closing and opening the door, measures, etc…) correspond to reality. While writing, Professor Andrzej Niwinski tried to faithfully reproduce the atmosphere of a given scene: a chapter in which the action takes place in the Valley of the Kings, was written in the Valley of the Kings, and the chapter in which the hero is in the port of Aswan, was written in that place. The names of people and places are consistent with the period in which the novel was staged (11th century BC), but the words such as: Egypt, Nile or Thebes, were assigned much later. As a curiosity, the book was written on four continents: started it in New Zealand, then continued on the return journey through Asia (airport in Singapore), a significant part was created in Africa (Egypt), the rest in Europe.</t>
  </si>
  <si>
    <t>&lt;p&gt;Elzbieta Cherezinska's The Widow Queen is the epic story of a Polish queen whose life and name were all but forgotten until now.&lt;/p&gt;
&lt;p&gt;The bold one, they call her- too bold for most. To her father, the great duke of Poland, Swietoslawa and her two sisters represent three chances for an alliance. Three marriages on which to build his empire. But Swietoslawa refuses to be simply a pawn in her father's schemes; she seeks a throne of her own, with no husband by her side. the gods may grant her wish, but crowns sit heavy, and power is a sword that cuts both ways.&lt;/p&gt;</t>
  </si>
  <si>
    <t>Elzbieta Cherezińska</t>
  </si>
  <si>
    <t>Widow Queen</t>
  </si>
  <si>
    <t>widow-queen</t>
  </si>
  <si>
    <t>The Bold</t>
  </si>
  <si>
    <t>“Elzbieta Cherezinska writes with great depth and imagination, bringing to life seductive and detailed worlds."</t>
  </si>
  <si>
    <t>Olga Tokarczuk, Nobel Prize Laureate and Man Booker Prize winning author of Flights</t>
  </si>
  <si>
    <t>"Elzbieta Cherezinska brings epic history to life with her own unique and recognizable voice."</t>
  </si>
  <si>
    <t>Tomek Baginski, Executive Producer, The Witcher, Netflix</t>
  </si>
  <si>
    <t>The Last Crown</t>
  </si>
  <si>
    <t>last-crown</t>
  </si>
  <si>
    <t>Maya Zakrzewska-Pim</t>
  </si>
  <si>
    <t>Across Baltic shores, English battlegrounds, and the land of Northern Lights, The Last Crown is the follow up to The Widow Queen, and the epic conclusion of Swietoslawa's journey from Polish princess to Queen of Denmark &amp; Sweden and Queen Mother of England.
The web of love and lies is thicker than ever as we reunite with players spread across the board of Europe in this sequel to The Widow Queen. Our heroes and enemies alike are beholden to the hands of fate.
While Olav Tryggvason reclaims the throne of Norway and baptizes the land by blood, King Sven in Denmark is filled with rage at his once comrade. Not only does Olav threaten Sven’s hold on Norway, but his hold on his own wife -- the woman with two crowns, three sons, and a heart long spoken for. Swietoslawa, the Bold One.
Meanwhile, those Swietoslawa trusts most -- Astrid, her sister, Sigvald, her brother-in-law and head of the Jomsvikings, and even her own son, Olaf -- take shocking, selfish action, with consequences that will reverberate for years to come.
For the storm of unrequited love destroys all in its path.
At the Publisher's request, this title is being sold without Digital Rights Management Software (DRM) applied.</t>
  </si>
  <si>
    <t>Forge Books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</si>
</sst>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8" x14ac:knownFonts="1">
    <font>
      <sz val="11"/>
      <color theme="1"/>
      <name val="Aptos Narrow"/>
      <family val="2"/>
      <scheme val="minor"/>
    </font>
    <font>
      <sz val="11"/>
      <color rgb="FF0F1111"/>
      <name val="Arial"/>
      <family val="2"/>
    </font>
    <font>
      <sz val="10"/>
      <color rgb="FFC00000"/>
      <name val="Aptos Narrow"/>
      <family val="2"/>
      <scheme val="minor"/>
    </font>
    <font>
      <sz val="11"/>
      <color rgb="FFC00000"/>
      <name val="Aptos Narrow"/>
      <family val="2"/>
      <scheme val="minor"/>
    </font>
    <font>
      <sz val="10"/>
      <color theme="9" tint="-0.249977111117893"/>
      <name val="Aptos Narrow"/>
      <family val="2"/>
      <scheme val="minor"/>
    </font>
    <font>
      <sz val="11"/>
      <color theme="9" tint="-0.249977111117893"/>
      <name val="Aptos Narrow"/>
      <family val="2"/>
      <scheme val="minor"/>
    </font>
    <font>
      <sz val="8"/>
      <name val="Aptos Narrow"/>
      <family val="2"/>
      <scheme val="minor"/>
    </font>
    <font>
      <sz val="10"/>
      <color theme="3" tint="0.249977111117893"/>
      <name val="Aptos Narrow"/>
      <family val="2"/>
      <scheme val="minor"/>
    </font>
    <font>
      <sz val="11"/>
      <color theme="3" tint="0.249977111117893"/>
      <name val="Aptos Narrow"/>
      <family val="2"/>
      <scheme val="minor"/>
    </font>
    <font>
      <sz val="10"/>
      <color rgb="FF0F1111"/>
      <name val="Arial"/>
      <family val="2"/>
    </font>
    <font>
      <sz val="11"/>
      <color theme="3" tint="0.249977111117893"/>
      <name val="Arial"/>
      <family val="2"/>
    </font>
    <font>
      <sz val="11"/>
      <color theme="3" tint="0.249977111117893"/>
      <name val="Aptos Narrow"/>
      <family val="2"/>
    </font>
    <font>
      <sz val="11"/>
      <color rgb="FFFF0000"/>
      <name val="Aptos Narrow"/>
      <family val="2"/>
      <scheme val="minor"/>
    </font>
    <font>
      <sz val="11"/>
      <color rgb="FFFF0000"/>
      <name val="Aptos Narrow"/>
      <family val="2"/>
    </font>
    <font>
      <sz val="10"/>
      <color rgb="FF0F1111"/>
      <name val="Aptos Narrow"/>
      <family val="2"/>
    </font>
    <font>
      <sz val="11"/>
      <color rgb="FF0F1111"/>
      <name val="Aptos Narrow"/>
      <family val="2"/>
    </font>
    <font>
      <sz val="11"/>
      <color theme="1"/>
      <name val="Aptos Narrow"/>
      <family val="2"/>
    </font>
    <font>
      <sz val="10"/>
      <color theme="1"/>
      <name val="Aptos Narrow"/>
      <family val="2"/>
    </font>
  </fonts>
  <fills count="2">
    <fill>
      <patternFill patternType="none"/>
    </fill>
    <fill>
      <patternFill patternType="gray125"/>
    </fill>
  </fills>
  <borders count="1">
    <border>
      <left/>
      <right/>
      <top/>
      <bottom/>
      <diagonal/>
    </border>
  </borders>
  <cellStyleXfs count="1">
    <xf numFmtId="0" fontId="0" fillId="0" borderId="0"/>
  </cellStyleXfs>
  <cellXfs count="21">
    <xf numFmtId="0" fontId="0" fillId="0" borderId="0" xfId="0"/>
    <xf numFmtId="0" fontId="1" fillId="0" borderId="0" xfId="0" applyFont="1"/>
    <xf numFmtId="1" fontId="2" fillId="0" borderId="0" xfId="0" applyNumberFormat="1" applyFont="1"/>
    <xf numFmtId="0" fontId="3" fillId="0" borderId="0" xfId="0" applyFont="1"/>
    <xf numFmtId="1" fontId="4" fillId="0" borderId="0" xfId="0" applyNumberFormat="1" applyFont="1"/>
    <xf numFmtId="0" fontId="5" fillId="0" borderId="0" xfId="0" applyFont="1"/>
    <xf numFmtId="1" fontId="7" fillId="0" borderId="0" xfId="0" applyNumberFormat="1" applyFont="1"/>
    <xf numFmtId="0" fontId="8" fillId="0" borderId="0" xfId="0" applyFont="1"/>
    <xf numFmtId="1" fontId="5" fillId="0" borderId="0" xfId="0" applyNumberFormat="1" applyFont="1"/>
    <xf numFmtId="49" fontId="9" fillId="0" borderId="0" xfId="0" applyNumberFormat="1" applyFont="1" applyAlignment="1">
      <alignment vertical="center"/>
    </xf>
    <xf numFmtId="1" fontId="8" fillId="0" borderId="0" xfId="0" applyNumberFormat="1" applyFont="1"/>
    <xf numFmtId="1" fontId="11" fillId="0" borderId="0" xfId="0" applyNumberFormat="1" applyFont="1"/>
    <xf numFmtId="0" fontId="10" fillId="0" borderId="0" xfId="0" applyFont="1"/>
    <xf numFmtId="1" fontId="12" fillId="0" borderId="0" xfId="0" applyNumberFormat="1" applyFont="1"/>
    <xf numFmtId="1" fontId="13" fillId="0" borderId="0" xfId="0" applyNumberFormat="1" applyFont="1"/>
    <xf numFmtId="1" fontId="14" fillId="0" borderId="0" xfId="0" applyNumberFormat="1" applyFont="1"/>
    <xf numFmtId="0" fontId="14" fillId="0" borderId="0" xfId="0" applyFont="1" applyAlignment="1">
      <alignment vertical="center"/>
    </xf>
    <xf numFmtId="0" fontId="17" fillId="0" borderId="0" xfId="0" applyFont="1"/>
    <xf numFmtId="0" fontId="0" fillId="0" borderId="0" xfId="0" applyAlignment="1">
      <alignment wrapText="1"/>
    </xf>
    <xf numFmtId="49" fontId="16" fillId="0" borderId="0" xfId="0" applyNumberFormat="1" applyFont="1" applyAlignment="1"/>
    <xf numFmtId="49" fontId="15" fillId="0" borderId="0" xfId="0" applyNumberFormat="1" applyFont="1" applyAlignment="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calcChain" Target="calcChain.xml"/><Relationship Id="rId5" Type="http://schemas.microsoft.com/office/2017/10/relationships/person" Target="persons/person.xml"/><Relationship Id="rId4" Type="http://schemas.openxmlformats.org/officeDocument/2006/relationships/sharedStrings" Target="sharedStrings.xml"/></Relationships>
</file>

<file path=xl/persons/person.xml><?xml version="1.0" encoding="utf-8"?>
<personList xmlns="http://schemas.microsoft.com/office/spreadsheetml/2018/threadedcomments" xmlns:x="http://schemas.openxmlformats.org/spreadsheetml/2006/main"/>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CE5F32-AD1D-47CB-A8F1-52ACBFFA0BE8}">
  <dimension ref="A1:AY69"/>
  <sheetViews>
    <sheetView tabSelected="1" topLeftCell="X16" zoomScale="60" zoomScaleNormal="60" workbookViewId="0">
      <selection activeCell="AS76" sqref="AS76"/>
    </sheetView>
  </sheetViews>
  <sheetFormatPr defaultRowHeight="15" x14ac:dyDescent="0.25"/>
  <cols>
    <col min="1" max="1" width="29.140625" customWidth="1"/>
    <col min="2" max="3" width="13.7109375" customWidth="1"/>
    <col min="4" max="4" width="46" style="17" customWidth="1"/>
    <col min="5" max="6" width="46" customWidth="1"/>
    <col min="7" max="9" width="9.140625" style="7"/>
    <col min="10" max="11" width="9" style="7"/>
    <col min="12" max="14" width="9.140625" style="7"/>
    <col min="15" max="15" width="28.85546875" style="10" customWidth="1"/>
    <col min="16" max="23" width="9.140625" style="3"/>
    <col min="24" max="24" width="17" style="13" customWidth="1"/>
    <col min="25" max="32" width="9.140625" style="5"/>
    <col min="33" max="33" width="22" style="8" customWidth="1"/>
    <col min="34" max="34" width="26.28515625" customWidth="1"/>
    <col min="37" max="37" width="16" customWidth="1"/>
    <col min="39" max="39" width="21.140625" customWidth="1"/>
    <col min="40" max="40" width="95.85546875" style="19" customWidth="1"/>
    <col min="41" max="44" width="19.7109375" customWidth="1"/>
  </cols>
  <sheetData>
    <row r="1" spans="1:51" x14ac:dyDescent="0.25">
      <c r="A1" t="s">
        <v>13</v>
      </c>
      <c r="B1" t="s">
        <v>186</v>
      </c>
      <c r="C1" t="s">
        <v>37</v>
      </c>
      <c r="D1" s="17" t="s">
        <v>24</v>
      </c>
      <c r="E1" t="s">
        <v>25</v>
      </c>
      <c r="F1" t="s">
        <v>32</v>
      </c>
      <c r="G1" s="6" t="s">
        <v>109</v>
      </c>
      <c r="H1" s="6" t="s">
        <v>162</v>
      </c>
      <c r="I1" s="7" t="s">
        <v>163</v>
      </c>
      <c r="J1" s="7" t="s">
        <v>164</v>
      </c>
      <c r="K1" s="7" t="s">
        <v>165</v>
      </c>
      <c r="L1" s="7" t="s">
        <v>166</v>
      </c>
      <c r="M1" s="7" t="s">
        <v>167</v>
      </c>
      <c r="N1" s="7" t="s">
        <v>168</v>
      </c>
      <c r="O1" s="10" t="s">
        <v>169</v>
      </c>
      <c r="P1" s="2" t="s">
        <v>110</v>
      </c>
      <c r="Q1" s="2" t="s">
        <v>170</v>
      </c>
      <c r="R1" s="3" t="s">
        <v>171</v>
      </c>
      <c r="S1" s="3" t="s">
        <v>172</v>
      </c>
      <c r="T1" s="3" t="s">
        <v>173</v>
      </c>
      <c r="U1" s="3" t="s">
        <v>174</v>
      </c>
      <c r="V1" s="3" t="s">
        <v>175</v>
      </c>
      <c r="W1" s="3" t="s">
        <v>176</v>
      </c>
      <c r="X1" s="13" t="s">
        <v>177</v>
      </c>
      <c r="Y1" s="4" t="s">
        <v>111</v>
      </c>
      <c r="Z1" s="4" t="s">
        <v>178</v>
      </c>
      <c r="AA1" s="5" t="s">
        <v>179</v>
      </c>
      <c r="AB1" s="5" t="s">
        <v>180</v>
      </c>
      <c r="AC1" s="5" t="s">
        <v>181</v>
      </c>
      <c r="AD1" s="5" t="s">
        <v>182</v>
      </c>
      <c r="AE1" s="5" t="s">
        <v>183</v>
      </c>
      <c r="AF1" s="5" t="s">
        <v>184</v>
      </c>
      <c r="AG1" s="8" t="s">
        <v>185</v>
      </c>
      <c r="AH1" t="s">
        <v>0</v>
      </c>
      <c r="AI1" t="s">
        <v>17</v>
      </c>
      <c r="AJ1" t="s">
        <v>18</v>
      </c>
      <c r="AK1" t="s">
        <v>19</v>
      </c>
      <c r="AL1" t="s">
        <v>20</v>
      </c>
      <c r="AM1" t="s">
        <v>21</v>
      </c>
      <c r="AN1" s="19" t="s">
        <v>27</v>
      </c>
      <c r="AO1" t="s">
        <v>206</v>
      </c>
      <c r="AP1" t="s">
        <v>209</v>
      </c>
      <c r="AQ1" t="s">
        <v>207</v>
      </c>
      <c r="AR1" t="s">
        <v>210</v>
      </c>
      <c r="AS1" t="s">
        <v>22</v>
      </c>
      <c r="AT1" t="s">
        <v>38</v>
      </c>
      <c r="AU1" t="s">
        <v>28</v>
      </c>
      <c r="AV1" t="s">
        <v>29</v>
      </c>
      <c r="AW1" t="s">
        <v>34</v>
      </c>
      <c r="AX1" t="s">
        <v>35</v>
      </c>
      <c r="AY1" t="s">
        <v>36</v>
      </c>
    </row>
    <row r="2" spans="1:51" x14ac:dyDescent="0.25">
      <c r="A2" t="s">
        <v>26</v>
      </c>
      <c r="B2" t="s">
        <v>86</v>
      </c>
      <c r="C2">
        <v>100</v>
      </c>
      <c r="D2" s="16" t="s">
        <v>1</v>
      </c>
      <c r="E2" t="s">
        <v>2</v>
      </c>
      <c r="G2" s="6" t="s">
        <v>112</v>
      </c>
      <c r="I2" s="7">
        <v>25</v>
      </c>
      <c r="O2" s="10">
        <v>9780684812199</v>
      </c>
      <c r="P2" s="2" t="s">
        <v>113</v>
      </c>
      <c r="Q2" s="2"/>
      <c r="R2" s="3">
        <v>15</v>
      </c>
      <c r="S2" s="3">
        <v>18</v>
      </c>
      <c r="T2" s="3">
        <v>15</v>
      </c>
      <c r="X2" s="14">
        <v>9780306809330</v>
      </c>
      <c r="Y2" s="4" t="s">
        <v>114</v>
      </c>
      <c r="Z2" s="4"/>
      <c r="AA2" s="5">
        <v>15</v>
      </c>
      <c r="AB2" s="5">
        <v>18</v>
      </c>
      <c r="AC2" s="5">
        <v>15</v>
      </c>
      <c r="AH2" t="str">
        <f>"covers/" &amp; A2 &amp; ".jpg"</f>
        <v>covers/chopin-in-paris.jpg</v>
      </c>
      <c r="AS2" t="s">
        <v>23</v>
      </c>
      <c r="AT2" t="s">
        <v>23</v>
      </c>
      <c r="AV2" t="s">
        <v>30</v>
      </c>
    </row>
    <row r="3" spans="1:51" x14ac:dyDescent="0.25">
      <c r="A3" t="s">
        <v>14</v>
      </c>
      <c r="B3" t="s">
        <v>87</v>
      </c>
      <c r="C3">
        <v>200</v>
      </c>
      <c r="D3" s="16" t="s">
        <v>3</v>
      </c>
      <c r="E3" t="s">
        <v>4</v>
      </c>
      <c r="G3" s="6" t="s">
        <v>112</v>
      </c>
      <c r="I3" s="7">
        <v>36</v>
      </c>
      <c r="O3" s="10">
        <v>9780312625924</v>
      </c>
      <c r="P3" s="2" t="s">
        <v>113</v>
      </c>
      <c r="Q3" s="2"/>
      <c r="R3" s="3">
        <v>18</v>
      </c>
      <c r="S3" s="3">
        <v>18</v>
      </c>
      <c r="T3" s="3">
        <v>15</v>
      </c>
      <c r="X3" s="14">
        <v>9780312625948</v>
      </c>
      <c r="Y3" s="4" t="s">
        <v>114</v>
      </c>
      <c r="Z3" s="4"/>
      <c r="AA3" s="5">
        <v>18</v>
      </c>
      <c r="AB3" s="5">
        <v>18</v>
      </c>
      <c r="AC3" s="5">
        <v>15</v>
      </c>
      <c r="AG3" s="8">
        <v>9781429964395</v>
      </c>
      <c r="AH3" t="str">
        <f t="shared" ref="AH3:AH65" si="0">"covers/" &amp; A3 &amp; ".jpg"</f>
        <v>covers/peasant-prince.jpg</v>
      </c>
      <c r="AS3" t="s">
        <v>23</v>
      </c>
      <c r="AT3" t="s">
        <v>23</v>
      </c>
      <c r="AV3" t="s">
        <v>30</v>
      </c>
    </row>
    <row r="4" spans="1:51" x14ac:dyDescent="0.25">
      <c r="A4" t="s">
        <v>39</v>
      </c>
      <c r="B4" t="s">
        <v>87</v>
      </c>
      <c r="C4">
        <v>300</v>
      </c>
      <c r="D4" s="16" t="s">
        <v>5</v>
      </c>
      <c r="E4" t="s">
        <v>6</v>
      </c>
      <c r="G4" s="6"/>
      <c r="O4" s="10">
        <v>9780008411251</v>
      </c>
      <c r="P4" s="2" t="s">
        <v>113</v>
      </c>
      <c r="Q4" s="2"/>
      <c r="R4" s="3">
        <v>20</v>
      </c>
      <c r="S4" s="3">
        <v>20</v>
      </c>
      <c r="T4" s="3">
        <v>16</v>
      </c>
      <c r="X4" s="14">
        <v>9780008521684</v>
      </c>
      <c r="Y4" s="4" t="s">
        <v>114</v>
      </c>
      <c r="Z4" s="4"/>
      <c r="AA4" s="5">
        <v>20</v>
      </c>
      <c r="AB4" s="5">
        <v>20</v>
      </c>
      <c r="AC4" s="5">
        <v>16</v>
      </c>
      <c r="AG4" s="8">
        <v>9780008411275</v>
      </c>
      <c r="AH4" t="str">
        <f t="shared" si="0"/>
        <v>covers/izabela-the-valiant.jpg</v>
      </c>
      <c r="AS4" t="s">
        <v>23</v>
      </c>
      <c r="AT4" t="s">
        <v>23</v>
      </c>
      <c r="AV4" t="s">
        <v>30</v>
      </c>
    </row>
    <row r="5" spans="1:51" x14ac:dyDescent="0.25">
      <c r="A5" t="s">
        <v>76</v>
      </c>
      <c r="B5" t="s">
        <v>87</v>
      </c>
      <c r="C5">
        <v>400</v>
      </c>
      <c r="D5" s="16" t="s">
        <v>7</v>
      </c>
      <c r="E5" t="s">
        <v>8</v>
      </c>
      <c r="G5" s="6" t="s">
        <v>112</v>
      </c>
      <c r="I5" s="7">
        <v>44</v>
      </c>
      <c r="J5" s="7">
        <v>45</v>
      </c>
      <c r="K5" s="7">
        <v>38</v>
      </c>
      <c r="O5" s="11">
        <v>9780300252200</v>
      </c>
      <c r="P5" s="2"/>
      <c r="Q5" s="2"/>
      <c r="X5" s="14"/>
      <c r="Y5" s="4" t="s">
        <v>114</v>
      </c>
      <c r="Z5" s="4"/>
      <c r="AA5" s="5">
        <v>44</v>
      </c>
      <c r="AB5" s="5">
        <v>45</v>
      </c>
      <c r="AC5" s="5">
        <v>38</v>
      </c>
      <c r="AG5" s="8">
        <v>9780300252224</v>
      </c>
      <c r="AH5" t="str">
        <f t="shared" si="0"/>
        <v>covers/light-and-flame.jpg</v>
      </c>
      <c r="AS5" t="s">
        <v>23</v>
      </c>
      <c r="AT5" t="s">
        <v>23</v>
      </c>
      <c r="AV5" t="s">
        <v>30</v>
      </c>
    </row>
    <row r="6" spans="1:51" x14ac:dyDescent="0.25">
      <c r="A6" t="s">
        <v>15</v>
      </c>
      <c r="B6" t="s">
        <v>87</v>
      </c>
      <c r="C6">
        <v>500</v>
      </c>
      <c r="D6" s="16" t="s">
        <v>9</v>
      </c>
      <c r="E6" t="s">
        <v>10</v>
      </c>
      <c r="G6" s="6" t="s">
        <v>112</v>
      </c>
      <c r="I6" s="7">
        <v>93</v>
      </c>
      <c r="J6" s="7">
        <v>52</v>
      </c>
      <c r="K6" s="7">
        <v>44</v>
      </c>
      <c r="O6" s="11">
        <v>9781472816030</v>
      </c>
      <c r="P6" s="2"/>
      <c r="Q6" s="2"/>
      <c r="X6" s="14"/>
      <c r="Y6" s="4" t="s">
        <v>114</v>
      </c>
      <c r="Z6" s="4"/>
      <c r="AA6" s="5">
        <v>58</v>
      </c>
      <c r="AB6" s="5">
        <v>52</v>
      </c>
      <c r="AC6" s="5">
        <v>44</v>
      </c>
      <c r="AG6" s="8">
        <v>9781472816054</v>
      </c>
      <c r="AH6" t="str">
        <f t="shared" si="0"/>
        <v>covers/trail-of-hope.jpg</v>
      </c>
      <c r="AS6" t="s">
        <v>23</v>
      </c>
      <c r="AT6" t="s">
        <v>23</v>
      </c>
      <c r="AV6" t="s">
        <v>30</v>
      </c>
    </row>
    <row r="7" spans="1:51" x14ac:dyDescent="0.25">
      <c r="A7" t="s">
        <v>16</v>
      </c>
      <c r="B7" t="s">
        <v>87</v>
      </c>
      <c r="C7">
        <v>600</v>
      </c>
      <c r="D7" s="16" t="s">
        <v>11</v>
      </c>
      <c r="E7" t="s">
        <v>12</v>
      </c>
      <c r="F7" t="s">
        <v>33</v>
      </c>
      <c r="G7" s="6" t="s">
        <v>112</v>
      </c>
      <c r="I7" s="7">
        <v>27</v>
      </c>
      <c r="O7" s="11">
        <v>9781607720041</v>
      </c>
      <c r="P7" s="2" t="s">
        <v>113</v>
      </c>
      <c r="Q7" s="2"/>
      <c r="R7" s="3">
        <v>23</v>
      </c>
      <c r="S7" s="3">
        <v>20</v>
      </c>
      <c r="T7" s="3">
        <v>18</v>
      </c>
      <c r="X7" s="14">
        <v>9781607720058</v>
      </c>
      <c r="Y7" s="4"/>
      <c r="Z7" s="4"/>
      <c r="AH7" t="str">
        <f t="shared" si="0"/>
        <v>covers/303-squadron.jpg</v>
      </c>
      <c r="AS7" t="s">
        <v>23</v>
      </c>
      <c r="AT7" t="s">
        <v>23</v>
      </c>
      <c r="AV7" t="s">
        <v>31</v>
      </c>
    </row>
    <row r="8" spans="1:51" x14ac:dyDescent="0.25">
      <c r="A8" t="s">
        <v>42</v>
      </c>
      <c r="B8" t="s">
        <v>40</v>
      </c>
      <c r="C8">
        <v>750</v>
      </c>
      <c r="D8" s="16" t="s">
        <v>41</v>
      </c>
      <c r="E8" t="s">
        <v>43</v>
      </c>
      <c r="F8" t="s">
        <v>44</v>
      </c>
      <c r="G8" s="6"/>
      <c r="O8" s="11"/>
      <c r="P8" s="2" t="s">
        <v>113</v>
      </c>
      <c r="Q8" s="2"/>
      <c r="R8" s="3">
        <v>18</v>
      </c>
      <c r="S8" s="3">
        <v>16</v>
      </c>
      <c r="T8" s="3">
        <v>14</v>
      </c>
      <c r="X8" s="14">
        <v>9781590173831</v>
      </c>
      <c r="Y8" s="4" t="s">
        <v>114</v>
      </c>
      <c r="Z8" s="4"/>
      <c r="AA8" s="5">
        <v>18</v>
      </c>
      <c r="AB8" s="5">
        <v>16</v>
      </c>
      <c r="AC8" s="5">
        <v>14</v>
      </c>
      <c r="AG8" s="8">
        <v>9781590173848</v>
      </c>
      <c r="AH8" t="str">
        <f t="shared" si="0"/>
        <v>covers/the-doll.jpg</v>
      </c>
      <c r="AS8" t="s">
        <v>23</v>
      </c>
      <c r="AT8" t="s">
        <v>23</v>
      </c>
      <c r="AV8" t="s">
        <v>31</v>
      </c>
    </row>
    <row r="9" spans="1:51" x14ac:dyDescent="0.25">
      <c r="A9" t="s">
        <v>48</v>
      </c>
      <c r="B9" t="s">
        <v>40</v>
      </c>
      <c r="C9">
        <v>250</v>
      </c>
      <c r="D9" s="16" t="s">
        <v>47</v>
      </c>
      <c r="E9" t="s">
        <v>46</v>
      </c>
      <c r="F9" t="s">
        <v>45</v>
      </c>
      <c r="G9" s="6"/>
      <c r="O9" s="11"/>
      <c r="P9" s="2" t="s">
        <v>113</v>
      </c>
      <c r="Q9" s="2"/>
      <c r="R9" s="3">
        <v>19.5</v>
      </c>
      <c r="S9" s="3">
        <v>18</v>
      </c>
      <c r="T9" s="3">
        <v>17</v>
      </c>
      <c r="X9" s="14">
        <v>9780241524244</v>
      </c>
      <c r="Y9" s="4"/>
      <c r="Z9" s="4"/>
      <c r="AH9" t="str">
        <f t="shared" si="0"/>
        <v>covers/the-peasants.jpg</v>
      </c>
      <c r="AS9" t="s">
        <v>23</v>
      </c>
      <c r="AT9" t="s">
        <v>23</v>
      </c>
      <c r="AV9" t="s">
        <v>31</v>
      </c>
    </row>
    <row r="10" spans="1:51" x14ac:dyDescent="0.25">
      <c r="A10" t="s">
        <v>50</v>
      </c>
      <c r="B10" t="s">
        <v>40</v>
      </c>
      <c r="C10">
        <v>350</v>
      </c>
      <c r="D10" s="16" t="s">
        <v>49</v>
      </c>
      <c r="E10" t="s">
        <v>51</v>
      </c>
      <c r="F10" s="1" t="s">
        <v>52</v>
      </c>
      <c r="G10" s="6"/>
      <c r="H10" s="12"/>
      <c r="O10" s="11"/>
      <c r="P10" s="2" t="s">
        <v>113</v>
      </c>
      <c r="Q10" s="2"/>
      <c r="R10" s="3">
        <v>16.96</v>
      </c>
      <c r="S10" s="3">
        <v>15</v>
      </c>
      <c r="T10" s="3">
        <v>13</v>
      </c>
      <c r="X10" s="14">
        <v>9781939810007</v>
      </c>
      <c r="Y10" s="4"/>
      <c r="Z10" s="4"/>
      <c r="AH10" t="str">
        <f t="shared" si="0"/>
        <v>covers/pan-tadeusz.jpg</v>
      </c>
      <c r="AS10" t="s">
        <v>23</v>
      </c>
      <c r="AT10" t="s">
        <v>23</v>
      </c>
      <c r="AV10" t="s">
        <v>31</v>
      </c>
    </row>
    <row r="11" spans="1:51" x14ac:dyDescent="0.25">
      <c r="A11" t="s">
        <v>57</v>
      </c>
      <c r="B11" t="s">
        <v>40</v>
      </c>
      <c r="C11">
        <v>450</v>
      </c>
      <c r="D11" s="16" t="s">
        <v>53</v>
      </c>
      <c r="E11" t="s">
        <v>54</v>
      </c>
      <c r="F11" t="s">
        <v>55</v>
      </c>
      <c r="G11" s="6"/>
      <c r="O11" s="11"/>
      <c r="P11" s="2" t="s">
        <v>113</v>
      </c>
      <c r="Q11" s="2"/>
      <c r="R11" s="3">
        <v>20</v>
      </c>
      <c r="S11" s="3">
        <v>19</v>
      </c>
      <c r="T11" s="3">
        <v>17</v>
      </c>
      <c r="X11" s="14">
        <v>9780875807072</v>
      </c>
      <c r="Y11" s="4"/>
      <c r="Z11" s="4"/>
      <c r="AH11" t="str">
        <f t="shared" si="0"/>
        <v>covers/choucas.jpg</v>
      </c>
      <c r="AS11" t="s">
        <v>23</v>
      </c>
      <c r="AT11" t="s">
        <v>23</v>
      </c>
      <c r="AV11" t="s">
        <v>31</v>
      </c>
    </row>
    <row r="12" spans="1:51" x14ac:dyDescent="0.25">
      <c r="A12" t="s">
        <v>62</v>
      </c>
      <c r="B12" t="s">
        <v>218</v>
      </c>
      <c r="C12">
        <v>1050</v>
      </c>
      <c r="D12" s="17" t="s">
        <v>64</v>
      </c>
      <c r="E12" t="s">
        <v>56</v>
      </c>
      <c r="F12" t="s">
        <v>63</v>
      </c>
      <c r="G12" s="6" t="s">
        <v>112</v>
      </c>
      <c r="I12" s="7">
        <v>22</v>
      </c>
      <c r="J12" s="7">
        <v>22</v>
      </c>
      <c r="K12" s="7">
        <v>15</v>
      </c>
      <c r="O12" s="11">
        <v>9798872593621</v>
      </c>
      <c r="P12" s="2" t="s">
        <v>113</v>
      </c>
      <c r="Q12" s="2"/>
      <c r="R12" s="3">
        <v>16</v>
      </c>
      <c r="S12" s="3">
        <v>16</v>
      </c>
      <c r="T12" s="3">
        <v>14</v>
      </c>
      <c r="X12" s="14">
        <v>9798245149318</v>
      </c>
      <c r="Y12" s="4"/>
      <c r="Z12" s="4"/>
      <c r="AH12" t="str">
        <f t="shared" si="0"/>
        <v>covers/desert-wilderness.jpg</v>
      </c>
      <c r="AS12" t="s">
        <v>23</v>
      </c>
      <c r="AT12" t="s">
        <v>23</v>
      </c>
      <c r="AV12" t="s">
        <v>31</v>
      </c>
    </row>
    <row r="13" spans="1:51" x14ac:dyDescent="0.25">
      <c r="A13" t="s">
        <v>61</v>
      </c>
      <c r="B13" t="s">
        <v>100</v>
      </c>
      <c r="C13">
        <v>650</v>
      </c>
      <c r="D13" s="16" t="s">
        <v>58</v>
      </c>
      <c r="E13" t="s">
        <v>59</v>
      </c>
      <c r="F13" t="s">
        <v>60</v>
      </c>
      <c r="G13" s="6" t="s">
        <v>112</v>
      </c>
      <c r="H13" s="7" t="s">
        <v>132</v>
      </c>
      <c r="I13" s="7">
        <v>24</v>
      </c>
      <c r="O13" s="11">
        <v>9789998791732</v>
      </c>
      <c r="P13" s="2"/>
      <c r="Q13" s="2"/>
      <c r="X13" s="14"/>
      <c r="Y13" s="4"/>
      <c r="Z13" s="4"/>
      <c r="AH13" t="str">
        <f t="shared" si="0"/>
        <v>covers/forest-folk.jpg</v>
      </c>
      <c r="AS13" t="s">
        <v>23</v>
      </c>
      <c r="AT13" t="s">
        <v>23</v>
      </c>
      <c r="AV13" t="s">
        <v>31</v>
      </c>
      <c r="AX13" t="s">
        <v>123</v>
      </c>
      <c r="AY13">
        <v>1</v>
      </c>
    </row>
    <row r="14" spans="1:51" x14ac:dyDescent="0.25">
      <c r="A14" t="s">
        <v>68</v>
      </c>
      <c r="B14" t="s">
        <v>78</v>
      </c>
      <c r="C14">
        <v>100</v>
      </c>
      <c r="D14" s="16" t="s">
        <v>65</v>
      </c>
      <c r="E14" t="s">
        <v>66</v>
      </c>
      <c r="F14" t="s">
        <v>67</v>
      </c>
      <c r="G14" s="6"/>
      <c r="O14" s="11"/>
      <c r="P14" s="2" t="s">
        <v>113</v>
      </c>
      <c r="Q14" s="2" t="s">
        <v>305</v>
      </c>
      <c r="R14" s="3">
        <v>15</v>
      </c>
      <c r="S14" s="3">
        <v>12</v>
      </c>
      <c r="T14" s="3">
        <v>10</v>
      </c>
      <c r="X14" s="14">
        <v>9781852429454</v>
      </c>
      <c r="Y14" s="4"/>
      <c r="Z14" s="4"/>
      <c r="AH14" t="str">
        <f t="shared" si="0"/>
        <v>covers/castorp.jpg</v>
      </c>
      <c r="AS14" t="s">
        <v>23</v>
      </c>
      <c r="AT14" t="s">
        <v>23</v>
      </c>
      <c r="AV14" t="s">
        <v>31</v>
      </c>
    </row>
    <row r="15" spans="1:51" x14ac:dyDescent="0.25">
      <c r="A15" t="s">
        <v>72</v>
      </c>
      <c r="B15" t="s">
        <v>74</v>
      </c>
      <c r="C15">
        <v>100</v>
      </c>
      <c r="D15" s="16" t="s">
        <v>69</v>
      </c>
      <c r="E15" t="s">
        <v>70</v>
      </c>
      <c r="G15" s="6"/>
      <c r="O15" s="11"/>
      <c r="P15" s="2" t="s">
        <v>113</v>
      </c>
      <c r="Q15" s="2"/>
      <c r="R15" s="3">
        <v>14</v>
      </c>
      <c r="S15" s="3">
        <v>14</v>
      </c>
      <c r="T15" s="3">
        <v>12</v>
      </c>
      <c r="X15" s="14">
        <v>9780679738015</v>
      </c>
      <c r="Y15" s="4"/>
      <c r="Z15" s="4"/>
      <c r="AH15" t="str">
        <f t="shared" si="0"/>
        <v>covers/shah-of-shahs.jpg</v>
      </c>
      <c r="AS15" t="s">
        <v>23</v>
      </c>
      <c r="AT15" t="s">
        <v>23</v>
      </c>
      <c r="AV15" t="s">
        <v>31</v>
      </c>
    </row>
    <row r="16" spans="1:51" x14ac:dyDescent="0.25">
      <c r="A16" t="s">
        <v>73</v>
      </c>
      <c r="B16" t="s">
        <v>74</v>
      </c>
      <c r="C16">
        <v>400</v>
      </c>
      <c r="D16" s="16" t="s">
        <v>71</v>
      </c>
      <c r="E16" t="s">
        <v>70</v>
      </c>
      <c r="G16" s="6"/>
      <c r="O16" s="11"/>
      <c r="P16" s="2" t="s">
        <v>113</v>
      </c>
      <c r="Q16" s="2"/>
      <c r="R16" s="3">
        <v>14</v>
      </c>
      <c r="S16" s="3">
        <v>14</v>
      </c>
      <c r="T16" s="3">
        <v>12</v>
      </c>
      <c r="X16" s="14">
        <v>9780141188034</v>
      </c>
      <c r="Y16" s="4"/>
      <c r="Z16" s="4"/>
      <c r="AH16" t="str">
        <f t="shared" si="0"/>
        <v>covers/the-emperor.jpg</v>
      </c>
      <c r="AS16" t="s">
        <v>23</v>
      </c>
      <c r="AT16" t="s">
        <v>23</v>
      </c>
      <c r="AV16" t="s">
        <v>31</v>
      </c>
    </row>
    <row r="17" spans="1:51" x14ac:dyDescent="0.25">
      <c r="A17" t="s">
        <v>126</v>
      </c>
      <c r="B17" t="s">
        <v>74</v>
      </c>
      <c r="C17">
        <v>400</v>
      </c>
      <c r="D17" s="16" t="s">
        <v>75</v>
      </c>
      <c r="E17" t="s">
        <v>70</v>
      </c>
      <c r="G17" s="6"/>
      <c r="O17" s="11"/>
      <c r="P17" s="2" t="s">
        <v>113</v>
      </c>
      <c r="Q17" s="2"/>
      <c r="R17" s="3">
        <v>13</v>
      </c>
      <c r="S17" s="3">
        <v>12</v>
      </c>
      <c r="T17" s="3">
        <v>11</v>
      </c>
      <c r="X17" s="14">
        <v>9780375726293</v>
      </c>
      <c r="Y17" s="4"/>
      <c r="Z17" s="4"/>
      <c r="AH17" t="str">
        <f t="shared" si="0"/>
        <v>covers/another-day-of-life.jpg</v>
      </c>
      <c r="AS17" t="s">
        <v>23</v>
      </c>
      <c r="AT17" t="s">
        <v>23</v>
      </c>
      <c r="AV17" t="s">
        <v>31</v>
      </c>
    </row>
    <row r="18" spans="1:51" x14ac:dyDescent="0.25">
      <c r="A18" t="s">
        <v>80</v>
      </c>
      <c r="B18" t="s">
        <v>74</v>
      </c>
      <c r="C18">
        <v>600</v>
      </c>
      <c r="D18" s="16" t="s">
        <v>79</v>
      </c>
      <c r="E18" t="s">
        <v>77</v>
      </c>
      <c r="F18" t="s">
        <v>60</v>
      </c>
      <c r="G18" s="6" t="s">
        <v>112</v>
      </c>
      <c r="H18" s="7" t="s">
        <v>132</v>
      </c>
      <c r="I18" s="7">
        <v>25</v>
      </c>
      <c r="J18" s="7">
        <v>24</v>
      </c>
      <c r="K18" s="7">
        <v>22</v>
      </c>
      <c r="O18" s="11">
        <v>9782919820382</v>
      </c>
      <c r="P18" s="2"/>
      <c r="Q18" s="2"/>
      <c r="Y18" s="4"/>
      <c r="Z18" s="4"/>
      <c r="AH18" t="str">
        <f t="shared" si="0"/>
        <v>covers/meeting-in-oea.jpg</v>
      </c>
      <c r="AS18" t="s">
        <v>23</v>
      </c>
      <c r="AT18" t="s">
        <v>23</v>
      </c>
      <c r="AV18" t="s">
        <v>31</v>
      </c>
    </row>
    <row r="19" spans="1:51" x14ac:dyDescent="0.25">
      <c r="A19" t="s">
        <v>125</v>
      </c>
      <c r="B19" t="s">
        <v>74</v>
      </c>
      <c r="C19">
        <v>800</v>
      </c>
      <c r="D19" s="16" t="s">
        <v>81</v>
      </c>
      <c r="E19" t="s">
        <v>77</v>
      </c>
      <c r="F19" t="s">
        <v>60</v>
      </c>
      <c r="G19" s="6" t="s">
        <v>112</v>
      </c>
      <c r="H19" s="7" t="s">
        <v>132</v>
      </c>
      <c r="I19" s="7">
        <v>25</v>
      </c>
      <c r="J19" s="7">
        <v>24</v>
      </c>
      <c r="K19" s="7">
        <v>20</v>
      </c>
      <c r="O19" s="11">
        <v>9789998793729</v>
      </c>
      <c r="P19" s="2"/>
      <c r="Q19" s="2"/>
      <c r="Y19" s="4"/>
      <c r="Z19" s="4"/>
      <c r="AH19" t="str">
        <f t="shared" si="0"/>
        <v>covers/seven-against-thebes.jpg</v>
      </c>
      <c r="AS19" t="s">
        <v>23</v>
      </c>
      <c r="AT19" t="s">
        <v>23</v>
      </c>
      <c r="AV19" t="s">
        <v>31</v>
      </c>
    </row>
    <row r="20" spans="1:51" x14ac:dyDescent="0.25">
      <c r="A20" t="s">
        <v>84</v>
      </c>
      <c r="B20" t="s">
        <v>74</v>
      </c>
      <c r="C20">
        <v>900</v>
      </c>
      <c r="D20" s="16" t="s">
        <v>82</v>
      </c>
      <c r="E20" t="s">
        <v>77</v>
      </c>
      <c r="F20" t="s">
        <v>60</v>
      </c>
      <c r="G20" s="6" t="s">
        <v>112</v>
      </c>
      <c r="H20" s="7" t="s">
        <v>132</v>
      </c>
      <c r="I20" s="7">
        <v>27</v>
      </c>
      <c r="J20" s="7">
        <v>25</v>
      </c>
      <c r="K20" s="7">
        <v>22</v>
      </c>
      <c r="O20" s="11">
        <v>9782919840052</v>
      </c>
      <c r="P20" s="2"/>
      <c r="Q20" s="2"/>
      <c r="Y20" s="4"/>
      <c r="Z20" s="4"/>
      <c r="AH20" t="str">
        <f t="shared" si="0"/>
        <v>covers/emperor-julian.jpg</v>
      </c>
      <c r="AS20" t="s">
        <v>23</v>
      </c>
      <c r="AT20" t="s">
        <v>23</v>
      </c>
      <c r="AV20" t="s">
        <v>31</v>
      </c>
    </row>
    <row r="21" spans="1:51" x14ac:dyDescent="0.25">
      <c r="A21" t="s">
        <v>85</v>
      </c>
      <c r="B21" t="s">
        <v>74</v>
      </c>
      <c r="C21">
        <v>1000</v>
      </c>
      <c r="D21" s="16" t="s">
        <v>83</v>
      </c>
      <c r="E21" t="s">
        <v>77</v>
      </c>
      <c r="F21" t="s">
        <v>60</v>
      </c>
      <c r="G21" s="6" t="s">
        <v>112</v>
      </c>
      <c r="H21" s="7" t="s">
        <v>132</v>
      </c>
      <c r="I21" s="7">
        <v>25</v>
      </c>
      <c r="J21" s="7">
        <v>24</v>
      </c>
      <c r="K21" s="7">
        <v>20</v>
      </c>
      <c r="O21" s="11">
        <v>9782919820290</v>
      </c>
      <c r="P21" s="2"/>
      <c r="Q21" s="2"/>
      <c r="Y21" s="4"/>
      <c r="Z21" s="4"/>
      <c r="AH21" t="str">
        <f t="shared" si="0"/>
        <v>covers/last-olympiad.jpg</v>
      </c>
      <c r="AS21" t="s">
        <v>23</v>
      </c>
      <c r="AT21" t="s">
        <v>23</v>
      </c>
      <c r="AV21" t="s">
        <v>31</v>
      </c>
    </row>
    <row r="22" spans="1:51" x14ac:dyDescent="0.25">
      <c r="A22" t="s">
        <v>88</v>
      </c>
      <c r="B22" t="s">
        <v>304</v>
      </c>
      <c r="C22">
        <v>600</v>
      </c>
      <c r="D22" s="16" t="s">
        <v>89</v>
      </c>
      <c r="E22" t="s">
        <v>90</v>
      </c>
      <c r="F22" t="s">
        <v>91</v>
      </c>
      <c r="G22" s="6"/>
      <c r="O22" s="11"/>
      <c r="P22" s="2" t="s">
        <v>113</v>
      </c>
      <c r="Q22" s="2"/>
      <c r="R22" s="3">
        <v>10</v>
      </c>
      <c r="S22" s="3">
        <v>9</v>
      </c>
      <c r="T22" s="3">
        <v>8</v>
      </c>
      <c r="X22" s="13">
        <v>9780156027601</v>
      </c>
      <c r="Y22" s="4"/>
      <c r="Z22" s="4"/>
      <c r="AH22" t="str">
        <f t="shared" si="0"/>
        <v>covers/solaris.jpg</v>
      </c>
      <c r="AS22" t="s">
        <v>23</v>
      </c>
      <c r="AT22" t="s">
        <v>23</v>
      </c>
      <c r="AV22" t="s">
        <v>31</v>
      </c>
    </row>
    <row r="23" spans="1:51" x14ac:dyDescent="0.25">
      <c r="A23" t="s">
        <v>92</v>
      </c>
      <c r="B23" t="s">
        <v>304</v>
      </c>
      <c r="C23">
        <v>200</v>
      </c>
      <c r="D23" s="16" t="s">
        <v>93</v>
      </c>
      <c r="E23" t="s">
        <v>90</v>
      </c>
      <c r="F23" t="s">
        <v>94</v>
      </c>
      <c r="G23" s="6"/>
      <c r="O23" s="11"/>
      <c r="P23" s="2" t="s">
        <v>113</v>
      </c>
      <c r="Q23" s="2"/>
      <c r="R23" s="3">
        <v>17</v>
      </c>
      <c r="S23" s="3">
        <v>15</v>
      </c>
      <c r="T23" s="3">
        <v>12</v>
      </c>
      <c r="X23" s="13">
        <v>9780156306300</v>
      </c>
      <c r="Y23" s="4"/>
      <c r="Z23" s="4"/>
      <c r="AH23" t="str">
        <f t="shared" si="0"/>
        <v>covers/fiasco.jpg</v>
      </c>
      <c r="AS23" t="s">
        <v>23</v>
      </c>
      <c r="AT23" t="s">
        <v>23</v>
      </c>
      <c r="AV23" t="s">
        <v>31</v>
      </c>
    </row>
    <row r="24" spans="1:51" x14ac:dyDescent="0.25">
      <c r="A24" t="s">
        <v>124</v>
      </c>
      <c r="B24" t="s">
        <v>304</v>
      </c>
      <c r="C24">
        <v>600</v>
      </c>
      <c r="D24" s="16" t="s">
        <v>95</v>
      </c>
      <c r="E24" t="s">
        <v>90</v>
      </c>
      <c r="F24" t="s">
        <v>52</v>
      </c>
      <c r="G24" s="6"/>
      <c r="O24" s="11"/>
      <c r="P24" s="2" t="s">
        <v>113</v>
      </c>
      <c r="Q24" s="2"/>
      <c r="R24" s="3">
        <v>17</v>
      </c>
      <c r="S24" s="3">
        <v>16</v>
      </c>
      <c r="T24" s="3">
        <v>13</v>
      </c>
      <c r="X24" s="13">
        <v>9780262357685</v>
      </c>
      <c r="Y24" s="4"/>
      <c r="Z24" s="4"/>
      <c r="AH24" t="str">
        <f t="shared" si="0"/>
        <v>covers/the-invincible.jpg</v>
      </c>
      <c r="AS24" t="s">
        <v>23</v>
      </c>
      <c r="AT24" t="s">
        <v>23</v>
      </c>
      <c r="AV24" t="s">
        <v>31</v>
      </c>
    </row>
    <row r="25" spans="1:51" x14ac:dyDescent="0.25">
      <c r="A25" t="s">
        <v>108</v>
      </c>
      <c r="B25" t="s">
        <v>78</v>
      </c>
      <c r="C25">
        <v>100</v>
      </c>
      <c r="D25" s="16" t="s">
        <v>96</v>
      </c>
      <c r="E25" t="s">
        <v>59</v>
      </c>
      <c r="F25" t="s">
        <v>60</v>
      </c>
      <c r="G25" s="6"/>
      <c r="O25" s="11"/>
      <c r="P25" s="2" t="s">
        <v>113</v>
      </c>
      <c r="Q25" s="2"/>
      <c r="R25" s="3">
        <v>17</v>
      </c>
      <c r="S25" s="3">
        <v>16</v>
      </c>
      <c r="T25" s="3">
        <v>15</v>
      </c>
      <c r="X25" s="13">
        <v>9782919840106</v>
      </c>
      <c r="Y25" s="4"/>
      <c r="Z25" s="4"/>
      <c r="AH25" t="str">
        <f t="shared" si="0"/>
        <v>covers/chahary.jpg</v>
      </c>
      <c r="AS25" t="s">
        <v>23</v>
      </c>
      <c r="AT25" t="s">
        <v>23</v>
      </c>
      <c r="AV25" t="s">
        <v>31</v>
      </c>
      <c r="AX25" t="s">
        <v>123</v>
      </c>
      <c r="AY25">
        <v>4</v>
      </c>
    </row>
    <row r="26" spans="1:51" x14ac:dyDescent="0.25">
      <c r="A26" t="s">
        <v>97</v>
      </c>
      <c r="B26" t="s">
        <v>218</v>
      </c>
      <c r="C26">
        <v>100</v>
      </c>
      <c r="D26" s="16" t="s">
        <v>101</v>
      </c>
      <c r="E26" t="s">
        <v>103</v>
      </c>
      <c r="F26" t="s">
        <v>60</v>
      </c>
      <c r="G26" s="6" t="s">
        <v>112</v>
      </c>
      <c r="H26" s="7" t="s">
        <v>132</v>
      </c>
      <c r="I26" s="7">
        <v>24</v>
      </c>
      <c r="J26" s="7">
        <v>24</v>
      </c>
      <c r="K26" s="7">
        <v>20</v>
      </c>
      <c r="O26" s="11">
        <v>9789998791671</v>
      </c>
      <c r="P26" s="2" t="s">
        <v>113</v>
      </c>
      <c r="Q26" s="2"/>
      <c r="R26" s="3">
        <v>17</v>
      </c>
      <c r="S26" s="3">
        <v>16</v>
      </c>
      <c r="T26" s="3">
        <v>15</v>
      </c>
      <c r="X26" s="13">
        <v>9789998791664</v>
      </c>
      <c r="Y26" s="4"/>
      <c r="Z26" s="4"/>
      <c r="AH26" t="str">
        <f t="shared" si="0"/>
        <v>covers/melicles.jpg</v>
      </c>
      <c r="AN26" s="19" t="s">
        <v>208</v>
      </c>
      <c r="AO26" t="s">
        <v>211</v>
      </c>
      <c r="AP26" t="s">
        <v>187</v>
      </c>
      <c r="AQ26" t="s">
        <v>212</v>
      </c>
      <c r="AR26" t="s">
        <v>213</v>
      </c>
      <c r="AS26" t="s">
        <v>23</v>
      </c>
      <c r="AT26" t="s">
        <v>23</v>
      </c>
      <c r="AV26" t="s">
        <v>31</v>
      </c>
    </row>
    <row r="27" spans="1:51" x14ac:dyDescent="0.25">
      <c r="A27" t="s">
        <v>98</v>
      </c>
      <c r="B27" t="s">
        <v>218</v>
      </c>
      <c r="C27">
        <v>600</v>
      </c>
      <c r="D27" s="16" t="s">
        <v>102</v>
      </c>
      <c r="E27" t="s">
        <v>103</v>
      </c>
      <c r="F27" t="s">
        <v>60</v>
      </c>
      <c r="G27" s="6" t="s">
        <v>112</v>
      </c>
      <c r="H27" s="7" t="s">
        <v>132</v>
      </c>
      <c r="I27" s="7">
        <v>24</v>
      </c>
      <c r="J27" s="7">
        <v>24</v>
      </c>
      <c r="K27" s="7">
        <v>20</v>
      </c>
      <c r="O27" s="11">
        <v>9789998791794</v>
      </c>
      <c r="P27" s="2"/>
      <c r="Q27" s="2"/>
      <c r="Y27" s="4"/>
      <c r="Z27" s="4"/>
      <c r="AH27" t="str">
        <f t="shared" si="0"/>
        <v>covers/diossos.jpg</v>
      </c>
      <c r="AS27" t="s">
        <v>23</v>
      </c>
      <c r="AT27" t="s">
        <v>23</v>
      </c>
      <c r="AV27" t="s">
        <v>31</v>
      </c>
    </row>
    <row r="28" spans="1:51" x14ac:dyDescent="0.25">
      <c r="A28" t="s">
        <v>107</v>
      </c>
      <c r="B28" t="s">
        <v>99</v>
      </c>
      <c r="C28">
        <v>220</v>
      </c>
      <c r="D28" s="16" t="s">
        <v>105</v>
      </c>
      <c r="E28" t="s">
        <v>12</v>
      </c>
      <c r="F28" t="s">
        <v>60</v>
      </c>
      <c r="G28" s="6" t="s">
        <v>112</v>
      </c>
      <c r="H28" s="7" t="s">
        <v>132</v>
      </c>
      <c r="I28" s="7">
        <v>21</v>
      </c>
      <c r="J28" s="7">
        <v>20</v>
      </c>
      <c r="K28" s="7">
        <v>18</v>
      </c>
      <c r="O28" s="10">
        <v>9782919820481</v>
      </c>
      <c r="P28" s="2"/>
      <c r="Q28" s="2"/>
      <c r="Y28" s="4"/>
      <c r="Z28" s="4"/>
      <c r="AH28" t="str">
        <f t="shared" si="0"/>
        <v>covers/white-jaguar-1.jpg</v>
      </c>
      <c r="AS28" t="s">
        <v>23</v>
      </c>
      <c r="AT28" t="s">
        <v>23</v>
      </c>
      <c r="AV28" t="s">
        <v>31</v>
      </c>
      <c r="AX28" t="s">
        <v>105</v>
      </c>
      <c r="AY28">
        <v>1</v>
      </c>
    </row>
    <row r="29" spans="1:51" x14ac:dyDescent="0.25">
      <c r="A29" t="s">
        <v>106</v>
      </c>
      <c r="B29" t="s">
        <v>99</v>
      </c>
      <c r="C29">
        <v>200</v>
      </c>
      <c r="D29" s="16" t="s">
        <v>104</v>
      </c>
      <c r="E29" t="s">
        <v>104</v>
      </c>
      <c r="F29" t="s">
        <v>60</v>
      </c>
      <c r="G29" s="6" t="s">
        <v>112</v>
      </c>
      <c r="H29" s="7" t="s">
        <v>132</v>
      </c>
      <c r="I29" s="7">
        <v>21</v>
      </c>
      <c r="J29" s="7">
        <v>20</v>
      </c>
      <c r="K29" s="7">
        <v>18</v>
      </c>
      <c r="O29" s="10">
        <v>9782919820153</v>
      </c>
      <c r="P29" s="2"/>
      <c r="Q29" s="2"/>
      <c r="Y29" s="4"/>
      <c r="Z29" s="4"/>
      <c r="AH29" t="str">
        <f t="shared" si="0"/>
        <v>covers/ships-minos-1.jpg</v>
      </c>
      <c r="AS29" t="s">
        <v>23</v>
      </c>
      <c r="AT29" t="s">
        <v>23</v>
      </c>
      <c r="AV29" t="s">
        <v>31</v>
      </c>
      <c r="AX29" t="s">
        <v>104</v>
      </c>
      <c r="AY29">
        <v>1</v>
      </c>
    </row>
    <row r="30" spans="1:51" x14ac:dyDescent="0.25">
      <c r="A30" t="s">
        <v>119</v>
      </c>
      <c r="B30" t="s">
        <v>40</v>
      </c>
      <c r="C30">
        <v>250</v>
      </c>
      <c r="D30" s="16" t="s">
        <v>116</v>
      </c>
      <c r="E30" t="s">
        <v>115</v>
      </c>
      <c r="F30" t="s">
        <v>60</v>
      </c>
      <c r="G30" s="6" t="s">
        <v>112</v>
      </c>
      <c r="H30" s="7" t="s">
        <v>132</v>
      </c>
      <c r="I30" s="7">
        <v>24</v>
      </c>
      <c r="O30" s="11">
        <v>9789998793781</v>
      </c>
      <c r="P30" s="2" t="s">
        <v>113</v>
      </c>
      <c r="Q30" s="2" t="s">
        <v>132</v>
      </c>
      <c r="R30" s="3">
        <v>16</v>
      </c>
      <c r="X30" s="13">
        <v>9789998793774</v>
      </c>
      <c r="Y30" s="4" t="s">
        <v>114</v>
      </c>
      <c r="Z30" s="4" t="s">
        <v>132</v>
      </c>
      <c r="AA30" s="5">
        <v>10</v>
      </c>
      <c r="AG30" s="8">
        <v>9789998793750</v>
      </c>
      <c r="AH30" t="str">
        <f t="shared" si="0"/>
        <v>covers/divine-julius.jpg</v>
      </c>
      <c r="AS30" t="s">
        <v>23</v>
      </c>
      <c r="AT30" t="s">
        <v>23</v>
      </c>
      <c r="AV30" t="s">
        <v>31</v>
      </c>
      <c r="AX30" t="s">
        <v>122</v>
      </c>
      <c r="AY30">
        <v>1</v>
      </c>
    </row>
    <row r="31" spans="1:51" x14ac:dyDescent="0.25">
      <c r="A31" t="s">
        <v>120</v>
      </c>
      <c r="B31" t="s">
        <v>40</v>
      </c>
      <c r="C31">
        <v>450</v>
      </c>
      <c r="D31" s="16" t="s">
        <v>117</v>
      </c>
      <c r="E31" t="s">
        <v>115</v>
      </c>
      <c r="F31" t="s">
        <v>60</v>
      </c>
      <c r="G31" s="6" t="s">
        <v>112</v>
      </c>
      <c r="H31" s="7" t="s">
        <v>132</v>
      </c>
      <c r="I31" s="7">
        <v>25</v>
      </c>
      <c r="O31" s="11">
        <v>9782919820047</v>
      </c>
      <c r="P31" s="2" t="s">
        <v>113</v>
      </c>
      <c r="Q31" s="2" t="s">
        <v>132</v>
      </c>
      <c r="R31" s="3">
        <v>17</v>
      </c>
      <c r="X31" s="13">
        <v>9782919820054</v>
      </c>
      <c r="Y31" s="4" t="s">
        <v>114</v>
      </c>
      <c r="Z31" s="4" t="s">
        <v>132</v>
      </c>
      <c r="AA31" s="5">
        <v>10</v>
      </c>
      <c r="AG31" s="8">
        <v>9782919820016</v>
      </c>
      <c r="AH31" t="str">
        <f t="shared" si="0"/>
        <v>covers/naso-the-poet.jpg</v>
      </c>
      <c r="AS31" t="s">
        <v>23</v>
      </c>
      <c r="AT31" t="s">
        <v>23</v>
      </c>
      <c r="AV31" t="s">
        <v>31</v>
      </c>
      <c r="AX31" t="s">
        <v>122</v>
      </c>
      <c r="AY31">
        <v>2</v>
      </c>
    </row>
    <row r="32" spans="1:51" x14ac:dyDescent="0.25">
      <c r="A32" t="s">
        <v>121</v>
      </c>
      <c r="B32" t="s">
        <v>40</v>
      </c>
      <c r="C32">
        <v>650</v>
      </c>
      <c r="D32" s="16" t="s">
        <v>118</v>
      </c>
      <c r="E32" t="s">
        <v>115</v>
      </c>
      <c r="F32" t="s">
        <v>60</v>
      </c>
      <c r="G32" s="6" t="s">
        <v>112</v>
      </c>
      <c r="H32" s="7" t="s">
        <v>132</v>
      </c>
      <c r="I32" s="7">
        <v>32</v>
      </c>
      <c r="O32" s="11">
        <v>9782919820467</v>
      </c>
      <c r="P32" s="2" t="s">
        <v>113</v>
      </c>
      <c r="Q32" s="2" t="s">
        <v>132</v>
      </c>
      <c r="R32" s="3">
        <v>18</v>
      </c>
      <c r="X32" s="13">
        <v>9782919820450</v>
      </c>
      <c r="Y32" s="4"/>
      <c r="Z32" s="4"/>
      <c r="AH32" t="str">
        <f t="shared" si="0"/>
        <v>covers/tiberius-caesar.jpg</v>
      </c>
      <c r="AS32" t="s">
        <v>23</v>
      </c>
      <c r="AT32" t="s">
        <v>23</v>
      </c>
      <c r="AV32" t="s">
        <v>31</v>
      </c>
      <c r="AX32" t="s">
        <v>122</v>
      </c>
      <c r="AY32">
        <v>3</v>
      </c>
    </row>
    <row r="33" spans="1:48" x14ac:dyDescent="0.25">
      <c r="A33" t="s">
        <v>153</v>
      </c>
      <c r="B33" t="s">
        <v>127</v>
      </c>
      <c r="C33">
        <v>100</v>
      </c>
      <c r="D33" s="16" t="s">
        <v>154</v>
      </c>
      <c r="E33" t="s">
        <v>128</v>
      </c>
      <c r="G33" s="6"/>
      <c r="P33" s="2" t="s">
        <v>113</v>
      </c>
      <c r="Q33" s="2" t="s">
        <v>129</v>
      </c>
      <c r="R33" s="3">
        <v>14</v>
      </c>
      <c r="X33" s="13">
        <v>9780062095886</v>
      </c>
      <c r="Y33" s="4"/>
      <c r="Z33" s="4"/>
      <c r="AH33" t="str">
        <f t="shared" si="0"/>
        <v>covers/milosz-selected-and-last-poems.jpg</v>
      </c>
      <c r="AS33" t="s">
        <v>23</v>
      </c>
      <c r="AT33" t="s">
        <v>23</v>
      </c>
      <c r="AV33" t="s">
        <v>31</v>
      </c>
    </row>
    <row r="34" spans="1:48" x14ac:dyDescent="0.25">
      <c r="A34" t="s">
        <v>157</v>
      </c>
      <c r="B34" t="s">
        <v>127</v>
      </c>
      <c r="C34">
        <v>200</v>
      </c>
      <c r="D34" s="17" t="s">
        <v>155</v>
      </c>
      <c r="E34" t="s">
        <v>130</v>
      </c>
      <c r="G34" s="6" t="s">
        <v>112</v>
      </c>
      <c r="H34" s="7" t="s">
        <v>156</v>
      </c>
      <c r="I34" s="7">
        <v>38</v>
      </c>
      <c r="O34" s="10">
        <v>9780151003532</v>
      </c>
      <c r="P34" s="2" t="s">
        <v>113</v>
      </c>
      <c r="Q34" s="2" t="s">
        <v>129</v>
      </c>
      <c r="R34" s="3">
        <v>11</v>
      </c>
      <c r="X34" s="14">
        <v>9780156011464</v>
      </c>
      <c r="Y34" s="4"/>
      <c r="Z34" s="4"/>
      <c r="AH34" t="str">
        <f t="shared" si="0"/>
        <v>covers/poems-new-and-szymborska.jpg</v>
      </c>
      <c r="AS34" t="s">
        <v>23</v>
      </c>
      <c r="AT34" t="s">
        <v>23</v>
      </c>
      <c r="AV34" t="s">
        <v>31</v>
      </c>
    </row>
    <row r="35" spans="1:48" x14ac:dyDescent="0.25">
      <c r="A35" t="s">
        <v>160</v>
      </c>
      <c r="B35" t="s">
        <v>127</v>
      </c>
      <c r="C35">
        <v>300</v>
      </c>
      <c r="D35" s="17" t="s">
        <v>158</v>
      </c>
      <c r="E35" t="s">
        <v>133</v>
      </c>
      <c r="G35" s="6"/>
      <c r="P35" s="2" t="s">
        <v>113</v>
      </c>
      <c r="Q35" s="3" t="s">
        <v>159</v>
      </c>
      <c r="R35" s="3">
        <v>18</v>
      </c>
      <c r="X35" s="13">
        <v>9781400043293</v>
      </c>
      <c r="Y35" s="4"/>
      <c r="Z35" s="4"/>
      <c r="AH35" t="str">
        <f t="shared" si="0"/>
        <v>covers/poems-herbert.jpg</v>
      </c>
      <c r="AS35" t="s">
        <v>23</v>
      </c>
      <c r="AT35" t="s">
        <v>23</v>
      </c>
      <c r="AV35" t="s">
        <v>31</v>
      </c>
    </row>
    <row r="36" spans="1:48" x14ac:dyDescent="0.25">
      <c r="A36" t="s">
        <v>148</v>
      </c>
      <c r="B36" t="s">
        <v>127</v>
      </c>
      <c r="C36">
        <v>400</v>
      </c>
      <c r="D36" s="17" t="s">
        <v>135</v>
      </c>
      <c r="E36" t="s">
        <v>134</v>
      </c>
      <c r="G36" s="6"/>
      <c r="P36" s="2" t="s">
        <v>113</v>
      </c>
      <c r="Q36" s="3" t="s">
        <v>136</v>
      </c>
      <c r="R36" s="3">
        <v>15</v>
      </c>
      <c r="X36" s="13">
        <v>9780374528614</v>
      </c>
      <c r="Y36" s="4"/>
      <c r="Z36" s="4"/>
      <c r="AH36" t="str">
        <f t="shared" si="0"/>
        <v>covers/without-end.jpg</v>
      </c>
      <c r="AS36" t="s">
        <v>23</v>
      </c>
      <c r="AT36" t="s">
        <v>23</v>
      </c>
      <c r="AV36" t="s">
        <v>31</v>
      </c>
    </row>
    <row r="37" spans="1:48" x14ac:dyDescent="0.25">
      <c r="A37" t="s">
        <v>149</v>
      </c>
      <c r="B37" t="s">
        <v>127</v>
      </c>
      <c r="C37">
        <v>600</v>
      </c>
      <c r="D37" s="17" t="s">
        <v>140</v>
      </c>
      <c r="E37" t="s">
        <v>137</v>
      </c>
      <c r="F37" t="s">
        <v>161</v>
      </c>
      <c r="G37" s="6" t="s">
        <v>112</v>
      </c>
      <c r="H37" s="7" t="s">
        <v>138</v>
      </c>
      <c r="I37" s="7">
        <v>16</v>
      </c>
      <c r="O37" s="10">
        <v>9780393067798</v>
      </c>
      <c r="P37" s="2" t="s">
        <v>113</v>
      </c>
      <c r="Q37" s="2"/>
      <c r="R37" s="3">
        <v>19</v>
      </c>
      <c r="X37" s="13">
        <v>9780393345551</v>
      </c>
      <c r="Y37" s="4"/>
      <c r="Z37" s="4"/>
      <c r="AH37" t="str">
        <f t="shared" si="0"/>
        <v>covers/sobbing-superpower.jpg</v>
      </c>
      <c r="AS37" t="s">
        <v>23</v>
      </c>
      <c r="AT37" t="s">
        <v>23</v>
      </c>
      <c r="AV37" t="s">
        <v>31</v>
      </c>
    </row>
    <row r="38" spans="1:48" x14ac:dyDescent="0.25">
      <c r="A38" t="s">
        <v>150</v>
      </c>
      <c r="B38" t="s">
        <v>127</v>
      </c>
      <c r="C38">
        <v>700</v>
      </c>
      <c r="D38" s="17" t="s">
        <v>139</v>
      </c>
      <c r="E38" t="s">
        <v>130</v>
      </c>
      <c r="G38" s="6" t="s">
        <v>112</v>
      </c>
      <c r="H38" s="7" t="s">
        <v>131</v>
      </c>
      <c r="I38" s="7">
        <v>30</v>
      </c>
      <c r="O38" s="10">
        <v>9780544126022</v>
      </c>
      <c r="P38" s="2" t="s">
        <v>113</v>
      </c>
      <c r="Q38" s="2"/>
      <c r="R38" s="3">
        <v>11</v>
      </c>
      <c r="X38" s="13">
        <v>9780544705159</v>
      </c>
      <c r="Y38" s="4"/>
      <c r="Z38" s="4"/>
      <c r="AH38" t="str">
        <f t="shared" si="0"/>
        <v>covers/map-collected-and-last.jpg</v>
      </c>
      <c r="AS38" t="s">
        <v>23</v>
      </c>
      <c r="AT38" t="s">
        <v>23</v>
      </c>
      <c r="AV38" t="s">
        <v>31</v>
      </c>
    </row>
    <row r="39" spans="1:48" x14ac:dyDescent="0.25">
      <c r="A39" t="s">
        <v>151</v>
      </c>
      <c r="B39" t="s">
        <v>127</v>
      </c>
      <c r="C39">
        <v>800</v>
      </c>
      <c r="D39" s="17" t="s">
        <v>141</v>
      </c>
      <c r="E39" s="9" t="s">
        <v>142</v>
      </c>
      <c r="F39" t="s">
        <v>143</v>
      </c>
      <c r="G39" s="6" t="s">
        <v>112</v>
      </c>
      <c r="H39" s="7" t="s">
        <v>132</v>
      </c>
      <c r="I39" s="7">
        <v>25</v>
      </c>
      <c r="O39" s="10">
        <v>9788367602488</v>
      </c>
      <c r="P39" s="2" t="s">
        <v>113</v>
      </c>
      <c r="Q39" s="2"/>
      <c r="R39" s="3">
        <v>11</v>
      </c>
      <c r="X39" s="13">
        <v>9788367602471</v>
      </c>
      <c r="Y39" s="4"/>
      <c r="Z39" s="4"/>
      <c r="AH39" t="str">
        <f t="shared" si="0"/>
        <v>covers/from-tree-of-knowledge.jpg</v>
      </c>
      <c r="AS39" t="s">
        <v>23</v>
      </c>
      <c r="AT39" t="s">
        <v>23</v>
      </c>
      <c r="AV39" t="s">
        <v>31</v>
      </c>
    </row>
    <row r="40" spans="1:48" x14ac:dyDescent="0.25">
      <c r="A40" t="s">
        <v>205</v>
      </c>
      <c r="B40" t="s">
        <v>127</v>
      </c>
      <c r="C40">
        <v>900</v>
      </c>
      <c r="D40" s="17" t="s">
        <v>144</v>
      </c>
      <c r="E40" t="s">
        <v>145</v>
      </c>
      <c r="G40" s="6"/>
      <c r="P40" s="2" t="s">
        <v>113</v>
      </c>
      <c r="Q40" s="2"/>
      <c r="R40" s="3">
        <v>7</v>
      </c>
      <c r="X40" s="13">
        <v>9798802065853</v>
      </c>
      <c r="Y40" s="4"/>
      <c r="Z40" s="4"/>
      <c r="AH40" t="str">
        <f t="shared" si="0"/>
        <v>covers/krzysztof-kamil-baczynski.jpg</v>
      </c>
      <c r="AS40" t="s">
        <v>23</v>
      </c>
      <c r="AT40" t="s">
        <v>23</v>
      </c>
      <c r="AV40" t="s">
        <v>31</v>
      </c>
    </row>
    <row r="41" spans="1:48" x14ac:dyDescent="0.25">
      <c r="A41" t="s">
        <v>152</v>
      </c>
      <c r="B41" t="s">
        <v>127</v>
      </c>
      <c r="C41">
        <v>1000</v>
      </c>
      <c r="D41" s="17" t="s">
        <v>147</v>
      </c>
      <c r="E41" t="s">
        <v>146</v>
      </c>
      <c r="F41" t="s">
        <v>52</v>
      </c>
      <c r="G41" s="6"/>
      <c r="P41" s="2" t="s">
        <v>113</v>
      </c>
      <c r="Q41" s="2"/>
      <c r="R41" s="3">
        <v>14</v>
      </c>
      <c r="X41" s="13">
        <v>9781931243810</v>
      </c>
      <c r="Y41" s="4"/>
      <c r="Z41" s="4"/>
      <c r="AH41" t="str">
        <f t="shared" si="0"/>
        <v>covers/white-magic-baczynski.jpg</v>
      </c>
      <c r="AS41" t="s">
        <v>23</v>
      </c>
      <c r="AT41" t="s">
        <v>23</v>
      </c>
      <c r="AV41" t="s">
        <v>31</v>
      </c>
    </row>
    <row r="42" spans="1:48" x14ac:dyDescent="0.25">
      <c r="A42" t="s">
        <v>201</v>
      </c>
      <c r="B42" t="s">
        <v>127</v>
      </c>
      <c r="C42">
        <v>1100</v>
      </c>
      <c r="D42" s="17" t="s">
        <v>202</v>
      </c>
      <c r="E42" t="s">
        <v>203</v>
      </c>
      <c r="F42" t="s">
        <v>203</v>
      </c>
      <c r="G42" s="6" t="s">
        <v>112</v>
      </c>
      <c r="H42" s="7" t="s">
        <v>132</v>
      </c>
      <c r="I42" s="7">
        <v>19</v>
      </c>
      <c r="O42" s="10">
        <v>9788367602426</v>
      </c>
      <c r="P42" s="2" t="s">
        <v>113</v>
      </c>
      <c r="Q42" s="2"/>
      <c r="R42" s="3">
        <v>9.99</v>
      </c>
      <c r="X42" s="13">
        <v>9788367602419</v>
      </c>
      <c r="Y42" s="4"/>
      <c r="Z42" s="4"/>
      <c r="AH42" t="str">
        <f t="shared" si="0"/>
        <v>covers/new-poems-ukr-po.jpg</v>
      </c>
      <c r="AN42" s="19" t="s">
        <v>204</v>
      </c>
      <c r="AS42" t="s">
        <v>23</v>
      </c>
      <c r="AT42" t="s">
        <v>23</v>
      </c>
      <c r="AV42" t="s">
        <v>31</v>
      </c>
    </row>
    <row r="43" spans="1:48" x14ac:dyDescent="0.25">
      <c r="A43" t="s">
        <v>193</v>
      </c>
      <c r="B43" t="s">
        <v>306</v>
      </c>
      <c r="C43">
        <v>1000</v>
      </c>
      <c r="D43" s="17" t="s">
        <v>189</v>
      </c>
      <c r="E43" t="s">
        <v>188</v>
      </c>
      <c r="F43" t="s">
        <v>60</v>
      </c>
      <c r="G43" s="6" t="s">
        <v>112</v>
      </c>
      <c r="H43" s="7" t="s">
        <v>132</v>
      </c>
      <c r="I43" s="7">
        <v>26</v>
      </c>
      <c r="O43" s="10">
        <v>9782919820863</v>
      </c>
      <c r="P43" s="2" t="s">
        <v>113</v>
      </c>
      <c r="R43" s="3">
        <v>13</v>
      </c>
      <c r="X43" s="13">
        <v>9782919820856</v>
      </c>
      <c r="Y43" s="4" t="s">
        <v>114</v>
      </c>
      <c r="Z43" s="4" t="s">
        <v>132</v>
      </c>
      <c r="AA43" s="5">
        <v>2.99</v>
      </c>
      <c r="AG43" s="4">
        <v>9782919820849</v>
      </c>
      <c r="AH43" t="str">
        <f t="shared" si="0"/>
        <v>covers/wheels-templars.jpg</v>
      </c>
      <c r="AN43" s="19" t="s">
        <v>198</v>
      </c>
      <c r="AS43" t="s">
        <v>23</v>
      </c>
      <c r="AT43" t="s">
        <v>23</v>
      </c>
      <c r="AV43" t="s">
        <v>31</v>
      </c>
    </row>
    <row r="44" spans="1:48" x14ac:dyDescent="0.25">
      <c r="A44" t="s">
        <v>196</v>
      </c>
      <c r="B44" t="s">
        <v>218</v>
      </c>
      <c r="C44">
        <v>1100</v>
      </c>
      <c r="D44" s="17" t="s">
        <v>190</v>
      </c>
      <c r="E44" t="s">
        <v>188</v>
      </c>
      <c r="F44" t="s">
        <v>60</v>
      </c>
      <c r="G44" s="6" t="s">
        <v>112</v>
      </c>
      <c r="H44" s="7" t="s">
        <v>132</v>
      </c>
      <c r="I44" s="7">
        <v>25</v>
      </c>
      <c r="O44" s="10">
        <v>9782919840014</v>
      </c>
      <c r="P44" s="2" t="s">
        <v>113</v>
      </c>
      <c r="R44" s="3">
        <v>17</v>
      </c>
      <c r="X44" s="13">
        <v>9782919840021</v>
      </c>
      <c r="Y44" s="4" t="s">
        <v>114</v>
      </c>
      <c r="Z44" s="4" t="s">
        <v>132</v>
      </c>
      <c r="AA44" s="5">
        <v>9.99</v>
      </c>
      <c r="AG44" s="8">
        <v>9782919840038</v>
      </c>
      <c r="AH44" t="str">
        <f t="shared" si="0"/>
        <v>covers/wheels-mysteries.jpg</v>
      </c>
      <c r="AN44" s="19" t="s">
        <v>200</v>
      </c>
      <c r="AS44" t="s">
        <v>23</v>
      </c>
      <c r="AT44" t="s">
        <v>23</v>
      </c>
      <c r="AV44" t="s">
        <v>31</v>
      </c>
    </row>
    <row r="45" spans="1:48" x14ac:dyDescent="0.25">
      <c r="A45" t="s">
        <v>195</v>
      </c>
      <c r="B45" t="s">
        <v>218</v>
      </c>
      <c r="C45">
        <v>1200</v>
      </c>
      <c r="D45" s="17" t="s">
        <v>192</v>
      </c>
      <c r="E45" t="s">
        <v>188</v>
      </c>
      <c r="F45" t="s">
        <v>60</v>
      </c>
      <c r="G45" s="6" t="s">
        <v>112</v>
      </c>
      <c r="H45" s="7" t="s">
        <v>132</v>
      </c>
      <c r="I45" s="7">
        <v>25</v>
      </c>
      <c r="O45" s="10">
        <v>9782919820955</v>
      </c>
      <c r="P45" s="2" t="s">
        <v>113</v>
      </c>
      <c r="R45" s="3">
        <v>15</v>
      </c>
      <c r="X45" s="14">
        <v>9782919820948</v>
      </c>
      <c r="Y45" s="4" t="s">
        <v>114</v>
      </c>
      <c r="Z45" s="4" t="s">
        <v>132</v>
      </c>
      <c r="AA45" s="5">
        <v>9.99</v>
      </c>
      <c r="AG45" s="4">
        <v>9782919820924</v>
      </c>
      <c r="AH45" t="str">
        <f t="shared" si="0"/>
        <v>covers/wheels-bandits.jpg</v>
      </c>
      <c r="AN45" s="19" t="s">
        <v>197</v>
      </c>
      <c r="AS45" t="s">
        <v>23</v>
      </c>
      <c r="AT45" t="s">
        <v>23</v>
      </c>
      <c r="AV45" t="s">
        <v>31</v>
      </c>
    </row>
    <row r="46" spans="1:48" x14ac:dyDescent="0.25">
      <c r="A46" t="s">
        <v>194</v>
      </c>
      <c r="B46" t="s">
        <v>218</v>
      </c>
      <c r="C46">
        <v>1300</v>
      </c>
      <c r="D46" s="17" t="s">
        <v>191</v>
      </c>
      <c r="E46" t="s">
        <v>188</v>
      </c>
      <c r="F46" t="s">
        <v>60</v>
      </c>
      <c r="G46" s="6" t="s">
        <v>112</v>
      </c>
      <c r="H46" s="7" t="s">
        <v>132</v>
      </c>
      <c r="I46" s="7">
        <v>25</v>
      </c>
      <c r="O46" s="10">
        <v>9782919820917</v>
      </c>
      <c r="P46" s="2" t="s">
        <v>113</v>
      </c>
      <c r="R46" s="3">
        <v>13</v>
      </c>
      <c r="X46" s="13">
        <v>9782919820900</v>
      </c>
      <c r="Y46" s="4" t="s">
        <v>114</v>
      </c>
      <c r="Z46" s="4" t="s">
        <v>132</v>
      </c>
      <c r="AA46" s="5">
        <v>9.99</v>
      </c>
      <c r="AG46" s="4">
        <v>9782919820894</v>
      </c>
      <c r="AH46" t="str">
        <f t="shared" si="0"/>
        <v>covers/wheels-copernicus.jpg</v>
      </c>
      <c r="AN46" s="20" t="s">
        <v>199</v>
      </c>
      <c r="AS46" t="s">
        <v>23</v>
      </c>
      <c r="AT46" t="s">
        <v>23</v>
      </c>
      <c r="AV46" t="s">
        <v>31</v>
      </c>
    </row>
    <row r="47" spans="1:48" x14ac:dyDescent="0.25">
      <c r="A47" t="s">
        <v>214</v>
      </c>
      <c r="B47" t="s">
        <v>78</v>
      </c>
      <c r="C47">
        <v>525</v>
      </c>
      <c r="D47" s="17" t="s">
        <v>215</v>
      </c>
      <c r="E47" t="s">
        <v>216</v>
      </c>
      <c r="F47" t="s">
        <v>67</v>
      </c>
      <c r="P47" s="2" t="s">
        <v>113</v>
      </c>
      <c r="R47" s="3">
        <v>19</v>
      </c>
      <c r="X47" s="13">
        <v>9781905583393</v>
      </c>
      <c r="Y47" s="4" t="s">
        <v>114</v>
      </c>
      <c r="Z47" s="4" t="s">
        <v>132</v>
      </c>
      <c r="AA47" s="5">
        <v>5.99</v>
      </c>
      <c r="AG47" s="8">
        <v>9781905583829</v>
      </c>
      <c r="AH47" t="str">
        <f t="shared" si="0"/>
        <v>covers/cold-sea.jpg</v>
      </c>
      <c r="AN47" s="19" t="s">
        <v>217</v>
      </c>
      <c r="AS47" t="s">
        <v>23</v>
      </c>
      <c r="AT47" t="s">
        <v>23</v>
      </c>
      <c r="AV47" t="s">
        <v>31</v>
      </c>
    </row>
    <row r="48" spans="1:48" x14ac:dyDescent="0.25">
      <c r="A48" t="s">
        <v>219</v>
      </c>
      <c r="B48" t="s">
        <v>40</v>
      </c>
      <c r="C48">
        <v>235</v>
      </c>
      <c r="D48" s="17" t="s">
        <v>221</v>
      </c>
      <c r="E48" t="s">
        <v>222</v>
      </c>
      <c r="F48" t="s">
        <v>238</v>
      </c>
      <c r="G48" s="6" t="s">
        <v>112</v>
      </c>
      <c r="H48" s="7" t="s">
        <v>223</v>
      </c>
      <c r="I48" s="7">
        <v>47</v>
      </c>
      <c r="O48" s="15">
        <v>9780670834280</v>
      </c>
      <c r="P48" s="2" t="s">
        <v>113</v>
      </c>
      <c r="Q48" s="7" t="s">
        <v>223</v>
      </c>
      <c r="R48" s="3">
        <v>22</v>
      </c>
      <c r="X48" s="13">
        <v>9780140445800</v>
      </c>
      <c r="Y48" s="4" t="s">
        <v>114</v>
      </c>
      <c r="Z48" s="4" t="str">
        <f>Q48</f>
        <v>Viking Adult</v>
      </c>
      <c r="AA48" s="5">
        <v>13</v>
      </c>
      <c r="AG48" s="8">
        <v>9780141914138</v>
      </c>
      <c r="AH48" t="str">
        <f t="shared" si="0"/>
        <v>covers/saragossa.jpg</v>
      </c>
      <c r="AN48" s="20" t="s">
        <v>220</v>
      </c>
      <c r="AS48" t="s">
        <v>23</v>
      </c>
      <c r="AT48" t="s">
        <v>23</v>
      </c>
      <c r="AV48" t="s">
        <v>31</v>
      </c>
    </row>
    <row r="49" spans="1:51" x14ac:dyDescent="0.25">
      <c r="A49" t="s">
        <v>224</v>
      </c>
      <c r="B49" t="s">
        <v>40</v>
      </c>
      <c r="C49">
        <v>450</v>
      </c>
      <c r="D49" s="17" t="s">
        <v>243</v>
      </c>
      <c r="E49" t="s">
        <v>225</v>
      </c>
      <c r="F49" t="s">
        <v>67</v>
      </c>
      <c r="P49" s="2" t="s">
        <v>113</v>
      </c>
      <c r="Q49" s="7" t="s">
        <v>226</v>
      </c>
      <c r="R49" s="3">
        <v>28</v>
      </c>
      <c r="X49" s="13">
        <v>9789639241459</v>
      </c>
      <c r="Y49" s="4"/>
      <c r="Z49" s="4"/>
      <c r="AH49" t="str">
        <f t="shared" si="0"/>
        <v>covers/birch-grove.jpg</v>
      </c>
      <c r="AN49" s="19" t="s">
        <v>227</v>
      </c>
      <c r="AS49" t="s">
        <v>23</v>
      </c>
      <c r="AT49" t="s">
        <v>23</v>
      </c>
      <c r="AV49" t="s">
        <v>31</v>
      </c>
    </row>
    <row r="50" spans="1:51" x14ac:dyDescent="0.25">
      <c r="A50" t="s">
        <v>229</v>
      </c>
      <c r="B50" t="s">
        <v>40</v>
      </c>
      <c r="C50">
        <v>750</v>
      </c>
      <c r="D50" s="17" t="s">
        <v>228</v>
      </c>
      <c r="E50" t="s">
        <v>230</v>
      </c>
      <c r="F50" t="s">
        <v>231</v>
      </c>
      <c r="O50" s="6"/>
      <c r="P50" s="2" t="s">
        <v>113</v>
      </c>
      <c r="Q50" s="7" t="s">
        <v>232</v>
      </c>
      <c r="R50" s="3">
        <v>22</v>
      </c>
      <c r="X50" s="13">
        <v>9780810108066</v>
      </c>
      <c r="Y50" s="4"/>
      <c r="Z50" s="4"/>
      <c r="AH50" t="str">
        <f t="shared" si="0"/>
        <v>covers/danton-thermidor.jpg</v>
      </c>
      <c r="AN50" s="20" t="s">
        <v>233</v>
      </c>
      <c r="AS50" t="s">
        <v>23</v>
      </c>
      <c r="AT50" t="s">
        <v>23</v>
      </c>
      <c r="AV50" t="s">
        <v>31</v>
      </c>
    </row>
    <row r="51" spans="1:51" x14ac:dyDescent="0.25">
      <c r="A51" t="s">
        <v>234</v>
      </c>
      <c r="B51" t="s">
        <v>40</v>
      </c>
      <c r="C51">
        <v>800</v>
      </c>
      <c r="D51" s="17" t="s">
        <v>235</v>
      </c>
      <c r="E51" t="s">
        <v>237</v>
      </c>
      <c r="F51" t="s">
        <v>52</v>
      </c>
      <c r="P51" s="2" t="s">
        <v>113</v>
      </c>
      <c r="Q51" s="7" t="s">
        <v>226</v>
      </c>
      <c r="R51" s="3">
        <v>39</v>
      </c>
      <c r="X51" s="13">
        <v>9789637326899</v>
      </c>
      <c r="Y51" s="4"/>
      <c r="Z51" s="4"/>
      <c r="AH51" t="str">
        <f t="shared" si="0"/>
        <v>covers/coming-spring.jpg</v>
      </c>
      <c r="AN51" s="19" t="s">
        <v>236</v>
      </c>
      <c r="AS51" t="s">
        <v>23</v>
      </c>
      <c r="AT51" t="s">
        <v>23</v>
      </c>
      <c r="AV51" t="s">
        <v>31</v>
      </c>
    </row>
    <row r="52" spans="1:51" x14ac:dyDescent="0.25">
      <c r="A52" t="s">
        <v>248</v>
      </c>
      <c r="B52" t="s">
        <v>87</v>
      </c>
      <c r="C52">
        <v>900</v>
      </c>
      <c r="D52" s="17" t="s">
        <v>244</v>
      </c>
      <c r="E52" t="s">
        <v>245</v>
      </c>
      <c r="P52" s="2" t="s">
        <v>113</v>
      </c>
      <c r="Q52" s="7" t="s">
        <v>246</v>
      </c>
      <c r="R52" s="3">
        <v>57.99</v>
      </c>
      <c r="X52" s="13">
        <v>9781412865432</v>
      </c>
      <c r="Y52" s="4" t="s">
        <v>114</v>
      </c>
      <c r="Z52" s="5" t="str">
        <f>Q52</f>
        <v>Routledge</v>
      </c>
      <c r="AA52" s="5">
        <v>44</v>
      </c>
      <c r="AG52" s="8">
        <v>9781351623674</v>
      </c>
      <c r="AH52" t="str">
        <f t="shared" si="0"/>
        <v>covers/beniowski.jpg</v>
      </c>
      <c r="AN52" s="19" t="s">
        <v>247</v>
      </c>
      <c r="AS52" t="s">
        <v>23</v>
      </c>
      <c r="AT52" t="s">
        <v>23</v>
      </c>
      <c r="AV52" t="s">
        <v>30</v>
      </c>
    </row>
    <row r="53" spans="1:51" x14ac:dyDescent="0.25">
      <c r="A53" t="s">
        <v>249</v>
      </c>
      <c r="B53" t="s">
        <v>304</v>
      </c>
      <c r="C53">
        <v>600</v>
      </c>
      <c r="D53" s="17" t="s">
        <v>250</v>
      </c>
      <c r="E53" t="s">
        <v>251</v>
      </c>
      <c r="F53" s="18" t="s">
        <v>252</v>
      </c>
      <c r="P53" s="2" t="s">
        <v>113</v>
      </c>
      <c r="Q53" s="7" t="s">
        <v>253</v>
      </c>
      <c r="R53" s="3">
        <v>50</v>
      </c>
      <c r="X53" s="13">
        <v>9780316498845</v>
      </c>
      <c r="Y53" s="4"/>
      <c r="Z53" s="4"/>
      <c r="AH53" t="str">
        <f t="shared" si="0"/>
        <v>covers/witcher-set.jpg</v>
      </c>
      <c r="AN53" s="20" t="s">
        <v>254</v>
      </c>
      <c r="AS53" t="s">
        <v>23</v>
      </c>
      <c r="AT53" t="s">
        <v>23</v>
      </c>
      <c r="AV53" t="s">
        <v>31</v>
      </c>
    </row>
    <row r="54" spans="1:51" x14ac:dyDescent="0.25">
      <c r="A54" t="s">
        <v>255</v>
      </c>
      <c r="B54" t="s">
        <v>304</v>
      </c>
      <c r="C54">
        <v>850</v>
      </c>
      <c r="D54" s="17" t="s">
        <v>256</v>
      </c>
      <c r="E54" t="s">
        <v>251</v>
      </c>
      <c r="F54" t="s">
        <v>257</v>
      </c>
      <c r="P54" s="2" t="s">
        <v>113</v>
      </c>
      <c r="Q54" s="7" t="s">
        <v>253</v>
      </c>
      <c r="R54" s="3">
        <v>18</v>
      </c>
      <c r="X54" s="13">
        <v>9780316423694</v>
      </c>
      <c r="Y54" s="4"/>
      <c r="Z54" s="4"/>
      <c r="AH54" t="str">
        <f t="shared" si="0"/>
        <v>covers/tower-fools.jpg</v>
      </c>
      <c r="AN54" s="19" t="s">
        <v>258</v>
      </c>
      <c r="AS54" t="s">
        <v>23</v>
      </c>
      <c r="AT54" t="s">
        <v>23</v>
      </c>
      <c r="AV54" t="s">
        <v>31</v>
      </c>
      <c r="AX54" t="s">
        <v>259</v>
      </c>
      <c r="AY54">
        <v>1</v>
      </c>
    </row>
    <row r="55" spans="1:51" x14ac:dyDescent="0.25">
      <c r="A55" t="s">
        <v>260</v>
      </c>
      <c r="B55" t="s">
        <v>304</v>
      </c>
      <c r="C55">
        <v>860</v>
      </c>
      <c r="D55" s="17" t="s">
        <v>261</v>
      </c>
      <c r="E55" t="s">
        <v>251</v>
      </c>
      <c r="F55" t="s">
        <v>257</v>
      </c>
      <c r="P55" s="2" t="s">
        <v>113</v>
      </c>
      <c r="Q55" s="7" t="s">
        <v>253</v>
      </c>
      <c r="R55" s="3">
        <v>9.99</v>
      </c>
      <c r="X55" s="13">
        <v>9780316423717</v>
      </c>
      <c r="Y55" s="4"/>
      <c r="Z55" s="4"/>
      <c r="AH55" t="str">
        <f t="shared" si="0"/>
        <v>covers/warrior-god.jpg</v>
      </c>
      <c r="AN55" s="20" t="s">
        <v>262</v>
      </c>
      <c r="AS55" t="s">
        <v>23</v>
      </c>
      <c r="AT55" t="s">
        <v>23</v>
      </c>
      <c r="AV55" t="s">
        <v>31</v>
      </c>
      <c r="AX55" t="s">
        <v>259</v>
      </c>
      <c r="AY55">
        <v>2</v>
      </c>
    </row>
    <row r="56" spans="1:51" x14ac:dyDescent="0.25">
      <c r="A56" t="s">
        <v>263</v>
      </c>
      <c r="B56" t="s">
        <v>304</v>
      </c>
      <c r="C56">
        <v>870</v>
      </c>
      <c r="D56" s="17" t="s">
        <v>264</v>
      </c>
      <c r="E56" t="s">
        <v>251</v>
      </c>
      <c r="F56" t="s">
        <v>257</v>
      </c>
      <c r="P56" s="2" t="s">
        <v>113</v>
      </c>
      <c r="Q56" s="7" t="s">
        <v>253</v>
      </c>
      <c r="R56" s="3">
        <v>16</v>
      </c>
      <c r="X56" s="13">
        <v>9780316423755</v>
      </c>
      <c r="Y56" s="4"/>
      <c r="Z56" s="4"/>
      <c r="AH56" t="str">
        <f t="shared" si="0"/>
        <v>covers/light-perpetua.jpg</v>
      </c>
      <c r="AN56" s="19" t="s">
        <v>265</v>
      </c>
      <c r="AS56" t="s">
        <v>23</v>
      </c>
      <c r="AT56" t="s">
        <v>23</v>
      </c>
      <c r="AV56" t="s">
        <v>31</v>
      </c>
      <c r="AX56" t="s">
        <v>259</v>
      </c>
      <c r="AY56">
        <v>3</v>
      </c>
    </row>
    <row r="57" spans="1:51" x14ac:dyDescent="0.25">
      <c r="A57" t="s">
        <v>266</v>
      </c>
      <c r="B57" t="s">
        <v>87</v>
      </c>
      <c r="C57">
        <v>553</v>
      </c>
      <c r="D57" s="17" t="s">
        <v>267</v>
      </c>
      <c r="E57" t="s">
        <v>268</v>
      </c>
      <c r="G57" s="6" t="s">
        <v>112</v>
      </c>
      <c r="H57" s="7" t="s">
        <v>269</v>
      </c>
      <c r="I57" s="7">
        <v>28</v>
      </c>
      <c r="O57" s="10">
        <v>9780465002375</v>
      </c>
      <c r="P57" s="2" t="s">
        <v>113</v>
      </c>
      <c r="Q57" s="7" t="s">
        <v>269</v>
      </c>
      <c r="R57" s="3">
        <v>22</v>
      </c>
      <c r="X57" s="13">
        <v>9781845951207</v>
      </c>
      <c r="Y57" s="4" t="s">
        <v>114</v>
      </c>
      <c r="Z57" s="4"/>
      <c r="AA57" s="5">
        <v>8.99</v>
      </c>
      <c r="AG57" s="8">
        <v>9780465012473</v>
      </c>
      <c r="AH57" t="str">
        <f t="shared" si="0"/>
        <v>covers/red-prince.jpg</v>
      </c>
      <c r="AN57" s="20" t="s">
        <v>270</v>
      </c>
      <c r="AS57" t="s">
        <v>23</v>
      </c>
      <c r="AT57" t="s">
        <v>23</v>
      </c>
      <c r="AV57" t="s">
        <v>30</v>
      </c>
    </row>
    <row r="58" spans="1:51" x14ac:dyDescent="0.25">
      <c r="A58" t="s">
        <v>272</v>
      </c>
      <c r="B58" t="s">
        <v>87</v>
      </c>
      <c r="C58">
        <v>572</v>
      </c>
      <c r="D58" s="17" t="s">
        <v>273</v>
      </c>
      <c r="E58" t="s">
        <v>274</v>
      </c>
      <c r="G58" s="6" t="s">
        <v>112</v>
      </c>
      <c r="H58" s="7" t="s">
        <v>276</v>
      </c>
      <c r="I58" s="7">
        <v>45</v>
      </c>
      <c r="O58" s="10">
        <v>9780801444715</v>
      </c>
      <c r="P58" s="2"/>
      <c r="Q58" s="7"/>
      <c r="Y58" s="4"/>
      <c r="Z58" s="4"/>
      <c r="AH58" t="str">
        <f t="shared" si="0"/>
        <v>covers/adam-mickiewicz.jpg</v>
      </c>
      <c r="AN58" s="20" t="s">
        <v>275</v>
      </c>
      <c r="AS58" t="s">
        <v>23</v>
      </c>
      <c r="AT58" t="s">
        <v>23</v>
      </c>
      <c r="AV58" t="s">
        <v>30</v>
      </c>
    </row>
    <row r="59" spans="1:51" x14ac:dyDescent="0.25">
      <c r="A59" t="s">
        <v>278</v>
      </c>
      <c r="B59" t="s">
        <v>127</v>
      </c>
      <c r="C59">
        <v>832</v>
      </c>
      <c r="D59" s="17" t="s">
        <v>277</v>
      </c>
      <c r="E59" t="s">
        <v>51</v>
      </c>
      <c r="F59" t="s">
        <v>281</v>
      </c>
      <c r="G59" s="6" t="s">
        <v>112</v>
      </c>
      <c r="H59" s="7" t="s">
        <v>280</v>
      </c>
      <c r="I59" s="7">
        <v>31</v>
      </c>
      <c r="O59" s="10">
        <v>9781911414018</v>
      </c>
      <c r="P59" s="2"/>
      <c r="Q59" s="7"/>
      <c r="Y59" s="4"/>
      <c r="Z59" s="4"/>
      <c r="AH59" t="str">
        <f t="shared" si="0"/>
        <v>covers/forefathers-eve.jpg</v>
      </c>
      <c r="AN59" s="20" t="s">
        <v>279</v>
      </c>
      <c r="AS59" t="s">
        <v>23</v>
      </c>
      <c r="AT59" t="s">
        <v>23</v>
      </c>
      <c r="AV59" t="s">
        <v>31</v>
      </c>
    </row>
    <row r="60" spans="1:51" x14ac:dyDescent="0.25">
      <c r="A60" t="s">
        <v>283</v>
      </c>
      <c r="B60" t="s">
        <v>127</v>
      </c>
      <c r="C60">
        <v>900</v>
      </c>
      <c r="D60" s="17" t="s">
        <v>282</v>
      </c>
      <c r="E60" t="s">
        <v>51</v>
      </c>
      <c r="F60" t="s">
        <v>281</v>
      </c>
      <c r="G60" s="6" t="s">
        <v>112</v>
      </c>
      <c r="H60" s="7" t="s">
        <v>280</v>
      </c>
      <c r="I60" s="7">
        <v>27</v>
      </c>
      <c r="O60" s="10">
        <v>9781804840016</v>
      </c>
      <c r="P60" s="2"/>
      <c r="Q60" s="7"/>
      <c r="Y60" s="4"/>
      <c r="Z60" s="4"/>
      <c r="AH60" t="str">
        <f t="shared" si="0"/>
        <v>covers/ballads-romances.jpg</v>
      </c>
      <c r="AN60" s="19" t="s">
        <v>284</v>
      </c>
      <c r="AS60" t="s">
        <v>23</v>
      </c>
      <c r="AT60" t="s">
        <v>23</v>
      </c>
      <c r="AV60" t="s">
        <v>31</v>
      </c>
    </row>
    <row r="61" spans="1:51" x14ac:dyDescent="0.25">
      <c r="A61" t="s">
        <v>285</v>
      </c>
      <c r="B61" t="s">
        <v>74</v>
      </c>
      <c r="C61">
        <v>902</v>
      </c>
      <c r="D61" s="17" t="s">
        <v>286</v>
      </c>
      <c r="E61" t="s">
        <v>128</v>
      </c>
      <c r="F61" t="s">
        <v>287</v>
      </c>
      <c r="G61" s="6"/>
      <c r="P61" s="2" t="s">
        <v>113</v>
      </c>
      <c r="Q61" s="7" t="s">
        <v>136</v>
      </c>
      <c r="R61" s="3">
        <v>16</v>
      </c>
      <c r="X61" s="13">
        <v>9780374528300</v>
      </c>
      <c r="Y61" s="4"/>
      <c r="Z61" s="4"/>
      <c r="AH61" t="str">
        <f t="shared" si="0"/>
        <v>covers/native-realm.jpg</v>
      </c>
      <c r="AN61" s="19" t="s">
        <v>288</v>
      </c>
      <c r="AS61" t="s">
        <v>23</v>
      </c>
      <c r="AT61" t="s">
        <v>23</v>
      </c>
      <c r="AV61" t="s">
        <v>31</v>
      </c>
    </row>
    <row r="62" spans="1:51" x14ac:dyDescent="0.25">
      <c r="A62" t="s">
        <v>289</v>
      </c>
      <c r="B62" t="s">
        <v>87</v>
      </c>
      <c r="C62">
        <v>903</v>
      </c>
      <c r="D62" s="17" t="s">
        <v>290</v>
      </c>
      <c r="E62" t="s">
        <v>128</v>
      </c>
      <c r="G62" s="6"/>
      <c r="P62" s="2" t="s">
        <v>113</v>
      </c>
      <c r="Q62" s="7" t="s">
        <v>291</v>
      </c>
      <c r="R62" s="3">
        <v>41</v>
      </c>
      <c r="X62" s="13">
        <v>9780520044777</v>
      </c>
      <c r="Y62" s="4"/>
      <c r="Z62" s="4"/>
      <c r="AH62" t="str">
        <f t="shared" si="0"/>
        <v>covers/history-lit-milosz.jpg</v>
      </c>
      <c r="AN62" s="19" t="s">
        <v>295</v>
      </c>
      <c r="AS62" t="s">
        <v>23</v>
      </c>
      <c r="AT62" t="s">
        <v>23</v>
      </c>
      <c r="AV62" t="s">
        <v>31</v>
      </c>
    </row>
    <row r="63" spans="1:51" x14ac:dyDescent="0.25">
      <c r="A63" t="s">
        <v>293</v>
      </c>
      <c r="B63" t="s">
        <v>127</v>
      </c>
      <c r="C63">
        <v>872</v>
      </c>
      <c r="D63" s="17" t="s">
        <v>292</v>
      </c>
      <c r="E63" t="s">
        <v>294</v>
      </c>
      <c r="G63" s="6"/>
      <c r="P63" s="2" t="s">
        <v>113</v>
      </c>
      <c r="Q63" s="7" t="s">
        <v>291</v>
      </c>
      <c r="R63" s="3">
        <v>22</v>
      </c>
      <c r="X63" s="13">
        <v>9780520044760</v>
      </c>
      <c r="Y63" s="4"/>
      <c r="Z63" s="4"/>
      <c r="AH63" t="str">
        <f t="shared" si="0"/>
        <v>covers/postwar-polish-poetry.jpg</v>
      </c>
      <c r="AN63" s="19" t="s">
        <v>296</v>
      </c>
      <c r="AS63" t="s">
        <v>23</v>
      </c>
      <c r="AT63" t="s">
        <v>23</v>
      </c>
      <c r="AV63" t="s">
        <v>31</v>
      </c>
    </row>
    <row r="64" spans="1:51" x14ac:dyDescent="0.25">
      <c r="A64" t="s">
        <v>297</v>
      </c>
      <c r="B64" t="s">
        <v>74</v>
      </c>
      <c r="C64">
        <v>457</v>
      </c>
      <c r="D64" s="17" t="s">
        <v>298</v>
      </c>
      <c r="E64" t="s">
        <v>128</v>
      </c>
      <c r="G64" s="6"/>
      <c r="P64" s="2" t="s">
        <v>113</v>
      </c>
      <c r="Q64" s="7" t="s">
        <v>269</v>
      </c>
      <c r="R64" s="3">
        <v>13</v>
      </c>
      <c r="X64" s="13">
        <v>9780679728566</v>
      </c>
      <c r="Y64" s="4"/>
      <c r="Z64" s="4"/>
      <c r="AH64" t="str">
        <f t="shared" si="0"/>
        <v>covers/captive-mind.jpg</v>
      </c>
      <c r="AN64" s="19" t="s">
        <v>299</v>
      </c>
      <c r="AS64" t="s">
        <v>23</v>
      </c>
      <c r="AT64" t="s">
        <v>23</v>
      </c>
      <c r="AV64" t="s">
        <v>31</v>
      </c>
    </row>
    <row r="65" spans="1:51" x14ac:dyDescent="0.25">
      <c r="A65" t="s">
        <v>301</v>
      </c>
      <c r="B65" t="s">
        <v>127</v>
      </c>
      <c r="C65">
        <v>1100</v>
      </c>
      <c r="D65" s="17" t="s">
        <v>300</v>
      </c>
      <c r="E65" t="s">
        <v>203</v>
      </c>
      <c r="F65" t="s">
        <v>302</v>
      </c>
      <c r="G65" s="6"/>
      <c r="P65" s="2" t="s">
        <v>113</v>
      </c>
      <c r="Q65" s="7"/>
      <c r="R65" s="3">
        <v>14</v>
      </c>
      <c r="X65" s="13">
        <v>9781419679995</v>
      </c>
      <c r="Y65" s="4"/>
      <c r="Z65" s="4"/>
      <c r="AH65" t="str">
        <f t="shared" si="0"/>
        <v>covers/selected-masterpieces.jpg</v>
      </c>
      <c r="AN65" s="19" t="s">
        <v>303</v>
      </c>
      <c r="AS65" t="s">
        <v>23</v>
      </c>
      <c r="AT65" t="s">
        <v>23</v>
      </c>
      <c r="AV65" t="s">
        <v>31</v>
      </c>
    </row>
    <row r="66" spans="1:51" x14ac:dyDescent="0.25">
      <c r="A66" t="s">
        <v>308</v>
      </c>
      <c r="B66" t="s">
        <v>78</v>
      </c>
      <c r="C66">
        <v>1200</v>
      </c>
      <c r="D66" s="17" t="s">
        <v>307</v>
      </c>
      <c r="E66" t="s">
        <v>309</v>
      </c>
      <c r="G66" s="6"/>
      <c r="P66" s="2" t="s">
        <v>113</v>
      </c>
      <c r="Q66" s="7" t="s">
        <v>310</v>
      </c>
      <c r="R66" s="3">
        <v>30</v>
      </c>
      <c r="X66" s="13">
        <v>9781734860610</v>
      </c>
      <c r="Y66" s="4" t="s">
        <v>114</v>
      </c>
      <c r="Z66" s="4" t="str">
        <f>Q66</f>
        <v>Royal Hawaiian Press</v>
      </c>
      <c r="AA66" s="5">
        <v>9.99</v>
      </c>
      <c r="AG66" s="8">
        <v>9781386745006</v>
      </c>
      <c r="AH66" t="str">
        <f>"covers/" &amp; A66 &amp; ".jpg"</f>
        <v>covers/hyenas-lotuses.jpg</v>
      </c>
      <c r="AN66" s="19" t="s">
        <v>311</v>
      </c>
      <c r="AS66" t="s">
        <v>23</v>
      </c>
      <c r="AT66" t="s">
        <v>23</v>
      </c>
      <c r="AV66" t="s">
        <v>31</v>
      </c>
    </row>
    <row r="67" spans="1:51" x14ac:dyDescent="0.25">
      <c r="A67" t="s">
        <v>315</v>
      </c>
      <c r="B67" t="s">
        <v>78</v>
      </c>
      <c r="C67">
        <v>1300</v>
      </c>
      <c r="D67" s="17" t="s">
        <v>314</v>
      </c>
      <c r="E67" t="s">
        <v>313</v>
      </c>
      <c r="G67" s="6"/>
      <c r="P67" s="2" t="s">
        <v>113</v>
      </c>
      <c r="Q67" s="10" t="s">
        <v>325</v>
      </c>
      <c r="R67" s="3">
        <v>19</v>
      </c>
      <c r="X67" s="13">
        <v>9781250218018</v>
      </c>
      <c r="Y67" s="4" t="s">
        <v>114</v>
      </c>
      <c r="Z67" s="4" t="s">
        <v>325</v>
      </c>
      <c r="AA67" s="5">
        <v>11.99</v>
      </c>
      <c r="AG67" s="8">
        <v>9781250217981</v>
      </c>
      <c r="AH67" t="str">
        <f>"covers/" &amp; A67 &amp; ".jpg"</f>
        <v>covers/widow-queen.jpg</v>
      </c>
      <c r="AN67" s="19" t="s">
        <v>312</v>
      </c>
      <c r="AO67" t="s">
        <v>317</v>
      </c>
      <c r="AP67" t="s">
        <v>318</v>
      </c>
      <c r="AQ67" t="s">
        <v>319</v>
      </c>
      <c r="AR67" t="s">
        <v>320</v>
      </c>
      <c r="AS67" t="s">
        <v>23</v>
      </c>
      <c r="AT67" t="s">
        <v>23</v>
      </c>
      <c r="AV67" t="s">
        <v>31</v>
      </c>
      <c r="AX67" t="s">
        <v>316</v>
      </c>
      <c r="AY67">
        <v>1</v>
      </c>
    </row>
    <row r="68" spans="1:51" x14ac:dyDescent="0.25">
      <c r="A68" t="s">
        <v>322</v>
      </c>
      <c r="B68" t="s">
        <v>78</v>
      </c>
      <c r="C68">
        <v>1350</v>
      </c>
      <c r="D68" s="17" t="s">
        <v>321</v>
      </c>
      <c r="E68" t="s">
        <v>313</v>
      </c>
      <c r="F68" t="s">
        <v>323</v>
      </c>
      <c r="G68" s="6" t="s">
        <v>112</v>
      </c>
      <c r="H68" s="7" t="s">
        <v>325</v>
      </c>
      <c r="I68" s="7">
        <v>28.99</v>
      </c>
      <c r="O68" s="10">
        <v>9781250775740</v>
      </c>
      <c r="P68" s="2" t="s">
        <v>113</v>
      </c>
      <c r="Q68" s="7" t="s">
        <v>325</v>
      </c>
      <c r="R68" s="3">
        <v>20.99</v>
      </c>
      <c r="X68" s="13">
        <v>9781250775764</v>
      </c>
      <c r="Y68" s="4"/>
      <c r="Z68" s="4"/>
      <c r="AH68" t="str">
        <f>"covers/" &amp; A68 &amp; ".jpg"</f>
        <v>covers/last-crown.jpg</v>
      </c>
      <c r="AN68" s="19" t="s">
        <v>324</v>
      </c>
      <c r="AO68" t="s">
        <v>317</v>
      </c>
      <c r="AP68" t="s">
        <v>318</v>
      </c>
      <c r="AQ68" t="s">
        <v>319</v>
      </c>
      <c r="AR68" t="s">
        <v>320</v>
      </c>
      <c r="AS68" t="s">
        <v>23</v>
      </c>
      <c r="AT68" t="s">
        <v>23</v>
      </c>
      <c r="AV68" t="s">
        <v>31</v>
      </c>
      <c r="AX68" t="s">
        <v>316</v>
      </c>
      <c r="AY68">
        <v>2</v>
      </c>
    </row>
    <row r="69" spans="1:51" x14ac:dyDescent="0.25">
      <c r="A69" t="s">
        <v>271</v>
      </c>
      <c r="B69" t="s">
        <v>40</v>
      </c>
      <c r="C69">
        <v>900</v>
      </c>
      <c r="D69" s="17" t="s">
        <v>240</v>
      </c>
      <c r="E69" t="s">
        <v>237</v>
      </c>
      <c r="F69" t="s">
        <v>241</v>
      </c>
      <c r="P69" s="2" t="s">
        <v>113</v>
      </c>
      <c r="Q69" s="7" t="s">
        <v>242</v>
      </c>
      <c r="R69" s="3">
        <v>24.99</v>
      </c>
      <c r="X69" s="13">
        <v>9781589881846</v>
      </c>
      <c r="Y69" s="4" t="s">
        <v>114</v>
      </c>
      <c r="Z69" s="4" t="s">
        <v>242</v>
      </c>
      <c r="AA69" s="5">
        <v>9.99</v>
      </c>
      <c r="AG69" s="8">
        <v>9781589883802</v>
      </c>
      <c r="AH69" t="str">
        <f t="shared" ref="AH69" si="1">"covers/" &amp; A69 &amp; ".jpg"</f>
        <v>covers/the-homeless.jpg</v>
      </c>
      <c r="AN69" s="19" t="s">
        <v>239</v>
      </c>
      <c r="AS69" t="s">
        <v>23</v>
      </c>
      <c r="AT69" t="s">
        <v>23</v>
      </c>
      <c r="AV69" t="s">
        <v>31</v>
      </c>
    </row>
  </sheetData>
  <phoneticPr fontId="6" type="noConversion"/>
  <dataValidations count="2">
    <dataValidation type="list" allowBlank="1" showInputMessage="1" showErrorMessage="1" sqref="P70:Q1048576 H70:H1048576 Q43:Q47 O44 AG44 X44 G47 Y70:Z1048576 G69:G1048576 G49:G56" xr:uid="{D2C177B6-092A-4420-B1E2-D1681CD512E9}">
      <formula1>"hardcover, paperback, eBook, audiobook1"</formula1>
    </dataValidation>
    <dataValidation type="list" allowBlank="1" showInputMessage="1" showErrorMessage="1" sqref="AS1:AT1048576" xr:uid="{F1FB7CD6-B38A-4A39-862C-8A1111411C8C}">
      <formula1>"yes, no"</formula1>
    </dataValidation>
  </dataValidations>
  <pageMargins left="0.7" right="0.7" top="0.75" bottom="0.75" header="0.3" footer="0.3"/>
  <pageSetup paperSize="9"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Tom Pinch</dc:creator>
  <cp:lastModifiedBy>Tom Pinch</cp:lastModifiedBy>
  <dcterms:created xsi:type="dcterms:W3CDTF">2026-02-21T10:30:24Z</dcterms:created>
  <dcterms:modified xsi:type="dcterms:W3CDTF">2026-03-28T12:42:04Z</dcterms:modified>
</cp:coreProperties>
</file>