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1784" documentId="8_{7A17575A-3159-426C-AEB6-2C4506AAA768}" xr6:coauthVersionLast="47" xr6:coauthVersionMax="47" xr10:uidLastSave="{A5E08E28-F7BD-4B60-BC07-B1C3636C7431}"/>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15" i="1" l="1"/>
  <c r="AH115" i="1"/>
  <c r="AH114" i="1"/>
  <c r="AH113" i="1"/>
  <c r="Z112" i="1"/>
  <c r="Q112" i="1"/>
  <c r="Z111" i="1"/>
  <c r="Q111" i="1"/>
  <c r="Q110" i="1"/>
  <c r="Z108" i="1"/>
  <c r="Z107" i="1"/>
  <c r="Z106" i="1"/>
  <c r="Z104" i="1"/>
  <c r="Z103" i="1"/>
  <c r="Z102" i="1"/>
  <c r="Q102" i="1"/>
  <c r="Z101" i="1"/>
  <c r="Z100" i="1"/>
  <c r="AH99" i="1"/>
  <c r="AH100" i="1"/>
  <c r="AH101" i="1"/>
  <c r="AH102" i="1"/>
  <c r="AH103" i="1"/>
  <c r="AH104" i="1"/>
  <c r="AH105" i="1"/>
  <c r="AH106" i="1"/>
  <c r="AH107" i="1"/>
  <c r="AH108" i="1"/>
  <c r="AH109" i="1"/>
  <c r="AH110" i="1"/>
  <c r="AH111" i="1"/>
  <c r="AH112" i="1"/>
  <c r="Z99" i="1"/>
  <c r="Z96" i="1"/>
  <c r="Z97" i="1"/>
  <c r="Z98" i="1"/>
  <c r="AH98" i="1"/>
  <c r="AH97" i="1"/>
  <c r="AH96" i="1"/>
  <c r="AH95" i="1"/>
  <c r="B94" i="1"/>
  <c r="AH94" i="1"/>
  <c r="AH92" i="1"/>
  <c r="AH93" i="1"/>
  <c r="AH91" i="1"/>
  <c r="AH90" i="1"/>
  <c r="AH89" i="1"/>
  <c r="AH88" i="1"/>
  <c r="AH87" i="1"/>
  <c r="AH86" i="1"/>
  <c r="Z85" i="1"/>
  <c r="AH85" i="1"/>
  <c r="AH84" i="1"/>
  <c r="AH83" i="1"/>
  <c r="AH82" i="1"/>
  <c r="AH81" i="1"/>
  <c r="AH80" i="1"/>
  <c r="Q45" i="1"/>
  <c r="Q44" i="1"/>
  <c r="Q46" i="1"/>
  <c r="Q47" i="1"/>
  <c r="Q43" i="1"/>
  <c r="Q40" i="1"/>
  <c r="Q39" i="1"/>
  <c r="Q38" i="1"/>
  <c r="AH79" i="1"/>
  <c r="AH78" i="1"/>
  <c r="AH77" i="1"/>
  <c r="AH76" i="1"/>
  <c r="AH75" i="1"/>
  <c r="AH74" i="1"/>
  <c r="AH17" i="1"/>
  <c r="AH18" i="1"/>
  <c r="AH73" i="1"/>
  <c r="AH72" i="1"/>
  <c r="AH71" i="1"/>
  <c r="AH70" i="1"/>
  <c r="AH67" i="1"/>
  <c r="AH68" i="1"/>
  <c r="AH69" i="1"/>
  <c r="Z67" i="1"/>
  <c r="AH66" i="1"/>
  <c r="AH65" i="1"/>
  <c r="AH64" i="1"/>
  <c r="AH63" i="1"/>
  <c r="AH62" i="1"/>
  <c r="AH61" i="1"/>
  <c r="AH60" i="1"/>
  <c r="AH59" i="1"/>
  <c r="AH58" i="1"/>
  <c r="AH57" i="1"/>
  <c r="AH56" i="1"/>
  <c r="AH55" i="1"/>
  <c r="AH54" i="1"/>
  <c r="Z53" i="1"/>
  <c r="AH53" i="1"/>
  <c r="Z49" i="1"/>
  <c r="AH52" i="1"/>
  <c r="AH51" i="1"/>
  <c r="AH50" i="1"/>
  <c r="AH49" i="1"/>
  <c r="AH48" i="1"/>
  <c r="AH41" i="1"/>
  <c r="AH3" i="1"/>
  <c r="AH4" i="1"/>
  <c r="AH5" i="1"/>
  <c r="AH6" i="1"/>
  <c r="AH7" i="1"/>
  <c r="AH8" i="1"/>
  <c r="AH9" i="1"/>
  <c r="AH10" i="1"/>
  <c r="AH11" i="1"/>
  <c r="AH12" i="1"/>
  <c r="AH13" i="1"/>
  <c r="AH14" i="1"/>
  <c r="AH15" i="1"/>
  <c r="AH16" i="1"/>
  <c r="AH19" i="1"/>
  <c r="AH20" i="1"/>
  <c r="AH21" i="1"/>
  <c r="AH22" i="1"/>
  <c r="AH23" i="1"/>
  <c r="AH24" i="1"/>
  <c r="AH25" i="1"/>
  <c r="AH26" i="1"/>
  <c r="AH27" i="1"/>
  <c r="AH28" i="1"/>
  <c r="AH29" i="1"/>
  <c r="AH30" i="1"/>
  <c r="AH31" i="1"/>
  <c r="AH32" i="1"/>
  <c r="AH33" i="1"/>
  <c r="AH34" i="1"/>
  <c r="AH35" i="1"/>
  <c r="AH36" i="1"/>
  <c r="AH37" i="1"/>
  <c r="AH38" i="1"/>
  <c r="AH39" i="1"/>
  <c r="AH40" i="1"/>
  <c r="AH42" i="1"/>
  <c r="AH43" i="1"/>
  <c r="AH44" i="1"/>
  <c r="AH45" i="1"/>
  <c r="AH46" i="1"/>
  <c r="AH47" i="1"/>
  <c r="AH2" i="1"/>
</calcChain>
</file>

<file path=xl/sharedStrings.xml><?xml version="1.0" encoding="utf-8"?>
<sst xmlns="http://schemas.openxmlformats.org/spreadsheetml/2006/main" count="1431" uniqueCount="631">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</sst>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14" fillId="0" borderId="0" xfId="0" applyNumberFormat="1" applyFont="1" applyAlignment="1"/>
    <xf numFmtId="49" fontId="0" fillId="0" borderId="0" xfId="0" applyNumberFormat="1" applyAlignment="1"/>
    <xf numFmtId="49" fontId="0" fillId="0" borderId="0" xfId="0" quotePrefix="1" applyNumberFormat="1" applyAlignment="1"/>
    <xf numFmtId="49" fontId="16" fillId="0" borderId="0" xfId="0" applyNumberFormat="1" applyFont="1" applyAlignment="1"/>
    <xf numFmtId="49" fontId="13" fillId="0" borderId="0" xfId="0" applyNumberFormat="1" applyFont="1" applyAlignment="1"/>
    <xf numFmtId="49" fontId="14" fillId="0" borderId="0" xfId="0" quotePrefix="1" applyNumberFormat="1"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Z166"/>
  <sheetViews>
    <sheetView tabSelected="1" topLeftCell="A80" zoomScale="60" zoomScaleNormal="60" workbookViewId="0">
      <selection activeCell="AY87" sqref="AY87"/>
    </sheetView>
  </sheetViews>
  <sheetFormatPr defaultRowHeight="15" x14ac:dyDescent="0.25"/>
  <cols>
    <col min="1" max="1" width="29.140625" customWidth="1"/>
    <col min="2" max="3" width="13.7109375" customWidth="1"/>
    <col min="4" max="4" width="46" style="15" customWidth="1"/>
    <col min="5" max="6" width="46" customWidth="1"/>
    <col min="7" max="9" width="9.140625" style="7"/>
    <col min="10" max="11" width="9" style="7"/>
    <col min="12" max="14" width="9.140625" style="7"/>
    <col min="15" max="15" width="28.85546875" style="10" customWidth="1"/>
    <col min="16" max="23" width="9.140625" style="3"/>
    <col min="24" max="24" width="17" style="21" customWidth="1"/>
    <col min="25" max="32" width="9.140625" style="5"/>
    <col min="33" max="33" width="22" style="8" customWidth="1"/>
    <col min="34" max="35" width="26.28515625" customWidth="1"/>
    <col min="38" max="38" width="16" customWidth="1"/>
    <col min="40" max="40" width="21.140625" customWidth="1"/>
    <col min="41" max="41" width="95.85546875" style="25" customWidth="1"/>
    <col min="42" max="42" width="19.7109375" style="26" customWidth="1"/>
    <col min="43" max="45" width="19.7109375" customWidth="1"/>
  </cols>
  <sheetData>
    <row r="1" spans="1:52" x14ac:dyDescent="0.25">
      <c r="A1" t="s">
        <v>13</v>
      </c>
      <c r="B1" t="s">
        <v>184</v>
      </c>
      <c r="C1" t="s">
        <v>37</v>
      </c>
      <c r="D1" s="15" t="s">
        <v>24</v>
      </c>
      <c r="E1" t="s">
        <v>25</v>
      </c>
      <c r="F1" t="s">
        <v>32</v>
      </c>
      <c r="G1" s="6" t="s">
        <v>109</v>
      </c>
      <c r="H1" s="6" t="s">
        <v>160</v>
      </c>
      <c r="I1" s="7" t="s">
        <v>161</v>
      </c>
      <c r="J1" s="7" t="s">
        <v>162</v>
      </c>
      <c r="K1" s="7" t="s">
        <v>163</v>
      </c>
      <c r="L1" s="7" t="s">
        <v>164</v>
      </c>
      <c r="M1" s="7" t="s">
        <v>165</v>
      </c>
      <c r="N1" s="7" t="s">
        <v>166</v>
      </c>
      <c r="O1" s="10" t="s">
        <v>167</v>
      </c>
      <c r="P1" s="2" t="s">
        <v>110</v>
      </c>
      <c r="Q1" s="2" t="s">
        <v>168</v>
      </c>
      <c r="R1" s="3" t="s">
        <v>169</v>
      </c>
      <c r="S1" s="3" t="s">
        <v>170</v>
      </c>
      <c r="T1" s="3" t="s">
        <v>171</v>
      </c>
      <c r="U1" s="3" t="s">
        <v>172</v>
      </c>
      <c r="V1" s="3" t="s">
        <v>173</v>
      </c>
      <c r="W1" s="3" t="s">
        <v>174</v>
      </c>
      <c r="X1" s="21" t="s">
        <v>175</v>
      </c>
      <c r="Y1" s="4" t="s">
        <v>111</v>
      </c>
      <c r="Z1" s="4" t="s">
        <v>176</v>
      </c>
      <c r="AA1" s="5" t="s">
        <v>177</v>
      </c>
      <c r="AB1" s="5" t="s">
        <v>178</v>
      </c>
      <c r="AC1" s="5" t="s">
        <v>179</v>
      </c>
      <c r="AD1" s="5" t="s">
        <v>180</v>
      </c>
      <c r="AE1" s="5" t="s">
        <v>181</v>
      </c>
      <c r="AF1" s="5" t="s">
        <v>182</v>
      </c>
      <c r="AG1" s="8" t="s">
        <v>183</v>
      </c>
      <c r="AH1" t="s">
        <v>0</v>
      </c>
      <c r="AI1" s="5" t="s">
        <v>34</v>
      </c>
      <c r="AJ1" t="s">
        <v>17</v>
      </c>
      <c r="AK1" t="s">
        <v>18</v>
      </c>
      <c r="AL1" t="s">
        <v>19</v>
      </c>
      <c r="AM1" t="s">
        <v>20</v>
      </c>
      <c r="AN1" t="s">
        <v>21</v>
      </c>
      <c r="AO1" s="25" t="s">
        <v>27</v>
      </c>
      <c r="AP1" s="26" t="s">
        <v>204</v>
      </c>
      <c r="AQ1" t="s">
        <v>207</v>
      </c>
      <c r="AR1" t="s">
        <v>205</v>
      </c>
      <c r="AS1" t="s">
        <v>208</v>
      </c>
      <c r="AT1" t="s">
        <v>22</v>
      </c>
      <c r="AU1" t="s">
        <v>38</v>
      </c>
      <c r="AV1" t="s">
        <v>28</v>
      </c>
      <c r="AW1" t="s">
        <v>29</v>
      </c>
      <c r="AX1" t="s">
        <v>34</v>
      </c>
      <c r="AY1" t="s">
        <v>35</v>
      </c>
      <c r="AZ1" t="s">
        <v>36</v>
      </c>
    </row>
    <row r="2" spans="1:52" x14ac:dyDescent="0.25">
      <c r="A2" t="s">
        <v>26</v>
      </c>
      <c r="B2" t="s">
        <v>86</v>
      </c>
      <c r="C2">
        <v>100</v>
      </c>
      <c r="D2" s="14" t="s">
        <v>1</v>
      </c>
      <c r="E2" t="s">
        <v>2</v>
      </c>
      <c r="G2" s="6" t="s">
        <v>112</v>
      </c>
      <c r="I2" s="7">
        <v>25</v>
      </c>
      <c r="O2" s="10">
        <v>9780684812199</v>
      </c>
      <c r="P2" s="2" t="s">
        <v>113</v>
      </c>
      <c r="Q2" s="2"/>
      <c r="R2" s="3">
        <v>15</v>
      </c>
      <c r="S2" s="3">
        <v>18</v>
      </c>
      <c r="T2" s="3">
        <v>15</v>
      </c>
      <c r="X2" s="22">
        <v>9780306809330</v>
      </c>
      <c r="Y2" s="4" t="s">
        <v>114</v>
      </c>
      <c r="Z2" s="4"/>
      <c r="AA2" s="5">
        <v>15</v>
      </c>
      <c r="AB2" s="5">
        <v>18</v>
      </c>
      <c r="AC2" s="5">
        <v>15</v>
      </c>
      <c r="AG2" s="8">
        <v>9780684867380</v>
      </c>
      <c r="AH2" t="str">
        <f>"covers/" &amp; A2 &amp; ".jpg"</f>
        <v>covers/chopin-in-paris.jpg</v>
      </c>
      <c r="AO2" s="25" t="s">
        <v>324</v>
      </c>
      <c r="AP2" s="26" t="s">
        <v>325</v>
      </c>
      <c r="AQ2" t="s">
        <v>326</v>
      </c>
      <c r="AR2" t="s">
        <v>327</v>
      </c>
      <c r="AS2" t="s">
        <v>328</v>
      </c>
      <c r="AT2" t="s">
        <v>23</v>
      </c>
      <c r="AU2" t="s">
        <v>23</v>
      </c>
      <c r="AW2" t="s">
        <v>30</v>
      </c>
    </row>
    <row r="3" spans="1:52" x14ac:dyDescent="0.25">
      <c r="A3" t="s">
        <v>14</v>
      </c>
      <c r="B3" t="s">
        <v>87</v>
      </c>
      <c r="C3">
        <v>200</v>
      </c>
      <c r="D3" s="14" t="s">
        <v>3</v>
      </c>
      <c r="E3" t="s">
        <v>4</v>
      </c>
      <c r="G3" s="6" t="s">
        <v>112</v>
      </c>
      <c r="I3" s="7">
        <v>36</v>
      </c>
      <c r="O3" s="10">
        <v>9780312625924</v>
      </c>
      <c r="P3" s="2" t="s">
        <v>113</v>
      </c>
      <c r="Q3" s="2"/>
      <c r="R3" s="3">
        <v>18</v>
      </c>
      <c r="S3" s="3">
        <v>18</v>
      </c>
      <c r="T3" s="3">
        <v>15</v>
      </c>
      <c r="X3" s="22">
        <v>9780312625948</v>
      </c>
      <c r="Y3" s="4" t="s">
        <v>114</v>
      </c>
      <c r="Z3" s="4"/>
      <c r="AA3" s="5">
        <v>18</v>
      </c>
      <c r="AB3" s="5">
        <v>18</v>
      </c>
      <c r="AC3" s="5">
        <v>15</v>
      </c>
      <c r="AG3" s="8">
        <v>9781429966078</v>
      </c>
      <c r="AH3" t="str">
        <f t="shared" ref="AH3:AH66" si="0">"covers/" &amp; A3 &amp; ".jpg"</f>
        <v>covers/peasant-prince.jpg</v>
      </c>
      <c r="AO3" s="25" t="s">
        <v>329</v>
      </c>
      <c r="AT3" t="s">
        <v>23</v>
      </c>
      <c r="AU3" t="s">
        <v>23</v>
      </c>
      <c r="AW3" t="s">
        <v>30</v>
      </c>
    </row>
    <row r="4" spans="1:52" x14ac:dyDescent="0.25">
      <c r="A4" t="s">
        <v>39</v>
      </c>
      <c r="B4" t="s">
        <v>87</v>
      </c>
      <c r="C4">
        <v>300</v>
      </c>
      <c r="D4" s="14" t="s">
        <v>5</v>
      </c>
      <c r="E4" t="s">
        <v>6</v>
      </c>
      <c r="G4" s="6"/>
      <c r="O4" s="10">
        <v>9780008411251</v>
      </c>
      <c r="P4" s="2" t="s">
        <v>113</v>
      </c>
      <c r="Q4" s="2"/>
      <c r="R4" s="3">
        <v>20</v>
      </c>
      <c r="S4" s="3">
        <v>20</v>
      </c>
      <c r="T4" s="3">
        <v>16</v>
      </c>
      <c r="X4" s="22">
        <v>9780008521684</v>
      </c>
      <c r="Y4" s="4" t="s">
        <v>114</v>
      </c>
      <c r="Z4" s="4"/>
      <c r="AA4" s="5">
        <v>20</v>
      </c>
      <c r="AB4" s="5">
        <v>20</v>
      </c>
      <c r="AC4" s="5">
        <v>16</v>
      </c>
      <c r="AG4" s="8">
        <v>9780008521707</v>
      </c>
      <c r="AH4" t="str">
        <f t="shared" si="0"/>
        <v>covers/izabela-the-valiant.jpg</v>
      </c>
      <c r="AO4" s="25" t="s">
        <v>330</v>
      </c>
      <c r="AP4" s="27" t="s">
        <v>331</v>
      </c>
      <c r="AQ4" t="s">
        <v>333</v>
      </c>
      <c r="AR4" s="17" t="s">
        <v>334</v>
      </c>
      <c r="AS4" t="s">
        <v>332</v>
      </c>
      <c r="AT4" t="s">
        <v>23</v>
      </c>
      <c r="AU4" t="s">
        <v>23</v>
      </c>
      <c r="AW4" t="s">
        <v>30</v>
      </c>
    </row>
    <row r="5" spans="1:52" x14ac:dyDescent="0.25">
      <c r="A5" t="s">
        <v>76</v>
      </c>
      <c r="B5" t="s">
        <v>87</v>
      </c>
      <c r="C5">
        <v>400</v>
      </c>
      <c r="D5" s="14" t="s">
        <v>7</v>
      </c>
      <c r="E5" t="s">
        <v>8</v>
      </c>
      <c r="G5" s="6" t="s">
        <v>112</v>
      </c>
      <c r="I5" s="7">
        <v>44</v>
      </c>
      <c r="J5" s="7">
        <v>45</v>
      </c>
      <c r="K5" s="7">
        <v>38</v>
      </c>
      <c r="O5" s="11">
        <v>9780300252200</v>
      </c>
      <c r="P5" s="2"/>
      <c r="Q5" s="2"/>
      <c r="X5" s="22"/>
      <c r="Y5" s="4"/>
      <c r="Z5" s="4"/>
      <c r="AH5" t="str">
        <f t="shared" si="0"/>
        <v>covers/light-and-flame.jpg</v>
      </c>
      <c r="AO5" s="25" t="s">
        <v>335</v>
      </c>
      <c r="AP5" s="26" t="s">
        <v>336</v>
      </c>
      <c r="AT5" t="s">
        <v>23</v>
      </c>
      <c r="AU5" t="s">
        <v>23</v>
      </c>
      <c r="AW5" t="s">
        <v>30</v>
      </c>
    </row>
    <row r="6" spans="1:52" x14ac:dyDescent="0.25">
      <c r="A6" t="s">
        <v>15</v>
      </c>
      <c r="B6" t="s">
        <v>87</v>
      </c>
      <c r="C6">
        <v>500</v>
      </c>
      <c r="D6" s="14" t="s">
        <v>9</v>
      </c>
      <c r="E6" t="s">
        <v>10</v>
      </c>
      <c r="G6" s="6" t="s">
        <v>112</v>
      </c>
      <c r="I6" s="7">
        <v>93</v>
      </c>
      <c r="J6" s="7">
        <v>52</v>
      </c>
      <c r="K6" s="7">
        <v>44</v>
      </c>
      <c r="O6" s="11">
        <v>9781472816030</v>
      </c>
      <c r="P6" s="2"/>
      <c r="Q6" s="2"/>
      <c r="X6" s="22"/>
      <c r="Y6" s="4" t="s">
        <v>114</v>
      </c>
      <c r="Z6" s="4"/>
      <c r="AA6" s="5">
        <v>58</v>
      </c>
      <c r="AB6" s="5">
        <v>52</v>
      </c>
      <c r="AC6" s="5">
        <v>44</v>
      </c>
      <c r="AG6" s="8">
        <v>9781472816054</v>
      </c>
      <c r="AH6" t="str">
        <f t="shared" si="0"/>
        <v>covers/trail-of-hope.jpg</v>
      </c>
      <c r="AO6" s="25" t="s">
        <v>337</v>
      </c>
      <c r="AT6" t="s">
        <v>23</v>
      </c>
      <c r="AU6" t="s">
        <v>23</v>
      </c>
      <c r="AW6" t="s">
        <v>30</v>
      </c>
    </row>
    <row r="7" spans="1:52" x14ac:dyDescent="0.25">
      <c r="A7" t="s">
        <v>16</v>
      </c>
      <c r="B7" t="s">
        <v>87</v>
      </c>
      <c r="C7">
        <v>600</v>
      </c>
      <c r="D7" s="14" t="s">
        <v>11</v>
      </c>
      <c r="E7" t="s">
        <v>12</v>
      </c>
      <c r="F7" t="s">
        <v>33</v>
      </c>
      <c r="G7" s="6" t="s">
        <v>112</v>
      </c>
      <c r="I7" s="7">
        <v>27</v>
      </c>
      <c r="O7" s="11">
        <v>9781607720041</v>
      </c>
      <c r="P7" s="2" t="s">
        <v>113</v>
      </c>
      <c r="Q7" s="2"/>
      <c r="R7" s="3">
        <v>23</v>
      </c>
      <c r="S7" s="3">
        <v>20</v>
      </c>
      <c r="T7" s="3">
        <v>18</v>
      </c>
      <c r="X7" s="22">
        <v>9781607720058</v>
      </c>
      <c r="Y7" s="4"/>
      <c r="Z7" s="4"/>
      <c r="AH7" t="str">
        <f t="shared" si="0"/>
        <v>covers/303-squadron.jpg</v>
      </c>
      <c r="AO7" s="25" t="s">
        <v>338</v>
      </c>
      <c r="AP7" s="26" t="s">
        <v>339</v>
      </c>
      <c r="AT7" t="s">
        <v>23</v>
      </c>
      <c r="AU7" t="s">
        <v>23</v>
      </c>
      <c r="AW7" t="s">
        <v>31</v>
      </c>
    </row>
    <row r="8" spans="1:52" x14ac:dyDescent="0.25">
      <c r="A8" t="s">
        <v>42</v>
      </c>
      <c r="B8" t="s">
        <v>40</v>
      </c>
      <c r="C8">
        <v>750</v>
      </c>
      <c r="D8" s="14" t="s">
        <v>41</v>
      </c>
      <c r="E8" t="s">
        <v>43</v>
      </c>
      <c r="F8" t="s">
        <v>44</v>
      </c>
      <c r="G8" s="6"/>
      <c r="O8" s="11"/>
      <c r="P8" s="2" t="s">
        <v>113</v>
      </c>
      <c r="Q8" s="2"/>
      <c r="R8" s="3">
        <v>18</v>
      </c>
      <c r="S8" s="3">
        <v>16</v>
      </c>
      <c r="T8" s="3">
        <v>14</v>
      </c>
      <c r="X8" s="22">
        <v>9781590173831</v>
      </c>
      <c r="Y8" s="4" t="s">
        <v>114</v>
      </c>
      <c r="Z8" s="4"/>
      <c r="AA8" s="5">
        <v>18</v>
      </c>
      <c r="AB8" s="5">
        <v>16</v>
      </c>
      <c r="AC8" s="5">
        <v>14</v>
      </c>
      <c r="AG8" s="8">
        <v>9781590173978</v>
      </c>
      <c r="AH8" t="str">
        <f t="shared" si="0"/>
        <v>covers/the-doll.jpg</v>
      </c>
      <c r="AO8" s="25" t="s">
        <v>341</v>
      </c>
      <c r="AT8" t="s">
        <v>23</v>
      </c>
      <c r="AU8" t="s">
        <v>23</v>
      </c>
      <c r="AW8" t="s">
        <v>31</v>
      </c>
    </row>
    <row r="9" spans="1:52" x14ac:dyDescent="0.25">
      <c r="A9" t="s">
        <v>48</v>
      </c>
      <c r="B9" t="s">
        <v>40</v>
      </c>
      <c r="C9">
        <v>250</v>
      </c>
      <c r="D9" s="14" t="s">
        <v>47</v>
      </c>
      <c r="E9" t="s">
        <v>46</v>
      </c>
      <c r="F9" t="s">
        <v>45</v>
      </c>
      <c r="G9" s="6"/>
      <c r="O9" s="11"/>
      <c r="P9" s="2" t="s">
        <v>113</v>
      </c>
      <c r="Q9" s="2"/>
      <c r="R9" s="3">
        <v>19.5</v>
      </c>
      <c r="S9" s="3">
        <v>18</v>
      </c>
      <c r="T9" s="3">
        <v>17</v>
      </c>
      <c r="X9" s="22">
        <v>9780241524244</v>
      </c>
      <c r="Y9" s="4"/>
      <c r="Z9" s="4"/>
      <c r="AH9" t="str">
        <f t="shared" si="0"/>
        <v>covers/the-peasants.jpg</v>
      </c>
      <c r="AO9" s="25" t="s">
        <v>340</v>
      </c>
      <c r="AT9" t="s">
        <v>23</v>
      </c>
      <c r="AU9" t="s">
        <v>23</v>
      </c>
      <c r="AW9" t="s">
        <v>31</v>
      </c>
    </row>
    <row r="10" spans="1:52" x14ac:dyDescent="0.25">
      <c r="A10" t="s">
        <v>50</v>
      </c>
      <c r="B10" t="s">
        <v>40</v>
      </c>
      <c r="C10">
        <v>350</v>
      </c>
      <c r="D10" s="14" t="s">
        <v>49</v>
      </c>
      <c r="E10" t="s">
        <v>51</v>
      </c>
      <c r="F10" s="1" t="s">
        <v>52</v>
      </c>
      <c r="G10" s="6"/>
      <c r="H10" s="12"/>
      <c r="O10" s="11"/>
      <c r="P10" s="2" t="s">
        <v>113</v>
      </c>
      <c r="Q10" s="2"/>
      <c r="R10" s="3">
        <v>16.96</v>
      </c>
      <c r="S10" s="3">
        <v>15</v>
      </c>
      <c r="T10" s="3">
        <v>13</v>
      </c>
      <c r="X10" s="22">
        <v>9781939810007</v>
      </c>
      <c r="Y10" s="4"/>
      <c r="Z10" s="4"/>
      <c r="AH10" t="str">
        <f t="shared" si="0"/>
        <v>covers/pan-tadeusz.jpg</v>
      </c>
      <c r="AO10" s="25" t="s">
        <v>359</v>
      </c>
      <c r="AP10" s="26" t="s">
        <v>360</v>
      </c>
      <c r="AT10" t="s">
        <v>23</v>
      </c>
      <c r="AU10" t="s">
        <v>23</v>
      </c>
      <c r="AW10" t="s">
        <v>31</v>
      </c>
    </row>
    <row r="11" spans="1:52" x14ac:dyDescent="0.25">
      <c r="A11" t="s">
        <v>57</v>
      </c>
      <c r="B11" t="s">
        <v>40</v>
      </c>
      <c r="C11">
        <v>450</v>
      </c>
      <c r="D11" s="14" t="s">
        <v>53</v>
      </c>
      <c r="E11" t="s">
        <v>54</v>
      </c>
      <c r="F11" t="s">
        <v>55</v>
      </c>
      <c r="G11" s="6"/>
      <c r="O11" s="11"/>
      <c r="P11" s="2" t="s">
        <v>113</v>
      </c>
      <c r="Q11" s="2"/>
      <c r="R11" s="3">
        <v>20</v>
      </c>
      <c r="S11" s="3">
        <v>19</v>
      </c>
      <c r="T11" s="3">
        <v>17</v>
      </c>
      <c r="X11" s="22">
        <v>9780875807072</v>
      </c>
      <c r="Y11" s="4"/>
      <c r="Z11" s="4"/>
      <c r="AH11" t="str">
        <f t="shared" si="0"/>
        <v>covers/choucas.jpg</v>
      </c>
      <c r="AO11" s="25" t="s">
        <v>361</v>
      </c>
      <c r="AP11" s="26" t="s">
        <v>362</v>
      </c>
      <c r="AT11" t="s">
        <v>23</v>
      </c>
      <c r="AU11" t="s">
        <v>23</v>
      </c>
      <c r="AW11" t="s">
        <v>31</v>
      </c>
    </row>
    <row r="12" spans="1:52" x14ac:dyDescent="0.25">
      <c r="A12" t="s">
        <v>62</v>
      </c>
      <c r="B12" t="s">
        <v>216</v>
      </c>
      <c r="C12">
        <v>1050</v>
      </c>
      <c r="D12" s="15" t="s">
        <v>64</v>
      </c>
      <c r="E12" t="s">
        <v>56</v>
      </c>
      <c r="F12" t="s">
        <v>63</v>
      </c>
      <c r="G12" s="6" t="s">
        <v>112</v>
      </c>
      <c r="I12" s="7">
        <v>22</v>
      </c>
      <c r="J12" s="7">
        <v>22</v>
      </c>
      <c r="K12" s="7">
        <v>15</v>
      </c>
      <c r="O12" s="11">
        <v>9798872593621</v>
      </c>
      <c r="P12" s="2" t="s">
        <v>113</v>
      </c>
      <c r="Q12" s="2"/>
      <c r="R12" s="3">
        <v>16</v>
      </c>
      <c r="S12" s="3">
        <v>16</v>
      </c>
      <c r="T12" s="3">
        <v>14</v>
      </c>
      <c r="X12" s="22">
        <v>9798245149318</v>
      </c>
      <c r="Y12" s="4"/>
      <c r="Z12" s="4"/>
      <c r="AH12" t="str">
        <f t="shared" si="0"/>
        <v>covers/desert-wilderness.jpg</v>
      </c>
      <c r="AO12" s="25" t="s">
        <v>363</v>
      </c>
      <c r="AT12" t="s">
        <v>23</v>
      </c>
      <c r="AU12" t="s">
        <v>23</v>
      </c>
      <c r="AW12" t="s">
        <v>31</v>
      </c>
    </row>
    <row r="13" spans="1:52" x14ac:dyDescent="0.25">
      <c r="A13" t="s">
        <v>61</v>
      </c>
      <c r="B13" t="s">
        <v>100</v>
      </c>
      <c r="C13">
        <v>650</v>
      </c>
      <c r="D13" s="14" t="s">
        <v>58</v>
      </c>
      <c r="E13" t="s">
        <v>59</v>
      </c>
      <c r="F13" t="s">
        <v>60</v>
      </c>
      <c r="G13" s="6" t="s">
        <v>112</v>
      </c>
      <c r="H13" s="7" t="s">
        <v>132</v>
      </c>
      <c r="I13" s="7">
        <v>24</v>
      </c>
      <c r="O13" s="11">
        <v>9789998791732</v>
      </c>
      <c r="P13" s="2"/>
      <c r="Q13" s="2"/>
      <c r="X13" s="22"/>
      <c r="Y13" s="4"/>
      <c r="Z13" s="4"/>
      <c r="AH13" t="str">
        <f t="shared" si="0"/>
        <v>covers/forest-folk.jpg</v>
      </c>
      <c r="AO13" s="25" t="s">
        <v>364</v>
      </c>
      <c r="AT13" t="s">
        <v>23</v>
      </c>
      <c r="AU13" t="s">
        <v>23</v>
      </c>
      <c r="AW13" t="s">
        <v>31</v>
      </c>
      <c r="AY13" t="s">
        <v>123</v>
      </c>
      <c r="AZ13">
        <v>1</v>
      </c>
    </row>
    <row r="14" spans="1:52" x14ac:dyDescent="0.25">
      <c r="A14" t="s">
        <v>68</v>
      </c>
      <c r="B14" t="s">
        <v>78</v>
      </c>
      <c r="C14">
        <v>100</v>
      </c>
      <c r="D14" s="14" t="s">
        <v>65</v>
      </c>
      <c r="E14" t="s">
        <v>66</v>
      </c>
      <c r="F14" t="s">
        <v>67</v>
      </c>
      <c r="G14" s="6"/>
      <c r="O14" s="11"/>
      <c r="P14" s="2" t="s">
        <v>113</v>
      </c>
      <c r="Q14" s="2" t="s">
        <v>303</v>
      </c>
      <c r="R14" s="3">
        <v>15</v>
      </c>
      <c r="S14" s="3">
        <v>12</v>
      </c>
      <c r="T14" s="3">
        <v>10</v>
      </c>
      <c r="X14" s="22">
        <v>9781852429454</v>
      </c>
      <c r="Y14" s="4"/>
      <c r="Z14" s="4"/>
      <c r="AH14" t="str">
        <f t="shared" si="0"/>
        <v>covers/castorp.jpg</v>
      </c>
      <c r="AO14" s="25" t="s">
        <v>365</v>
      </c>
      <c r="AP14" s="26" t="s">
        <v>366</v>
      </c>
      <c r="AT14" t="s">
        <v>23</v>
      </c>
      <c r="AU14" t="s">
        <v>23</v>
      </c>
      <c r="AW14" t="s">
        <v>31</v>
      </c>
    </row>
    <row r="15" spans="1:52" x14ac:dyDescent="0.25">
      <c r="A15" t="s">
        <v>72</v>
      </c>
      <c r="B15" t="s">
        <v>74</v>
      </c>
      <c r="C15">
        <v>100</v>
      </c>
      <c r="D15" s="14" t="s">
        <v>69</v>
      </c>
      <c r="E15" t="s">
        <v>70</v>
      </c>
      <c r="F15" t="s">
        <v>368</v>
      </c>
      <c r="G15" s="6"/>
      <c r="O15" s="11"/>
      <c r="P15" s="2" t="s">
        <v>113</v>
      </c>
      <c r="Q15" s="2"/>
      <c r="R15" s="3">
        <v>14</v>
      </c>
      <c r="S15" s="3">
        <v>14</v>
      </c>
      <c r="T15" s="3">
        <v>12</v>
      </c>
      <c r="X15" s="22">
        <v>9780679738015</v>
      </c>
      <c r="Y15" s="4"/>
      <c r="Z15" s="4"/>
      <c r="AH15" t="str">
        <f t="shared" si="0"/>
        <v>covers/shah-of-shahs.jpg</v>
      </c>
      <c r="AO15" s="25" t="s">
        <v>367</v>
      </c>
      <c r="AP15" s="26" t="s">
        <v>369</v>
      </c>
      <c r="AT15" t="s">
        <v>23</v>
      </c>
      <c r="AU15" t="s">
        <v>23</v>
      </c>
      <c r="AW15" t="s">
        <v>31</v>
      </c>
    </row>
    <row r="16" spans="1:52" x14ac:dyDescent="0.25">
      <c r="A16" t="s">
        <v>73</v>
      </c>
      <c r="B16" t="s">
        <v>74</v>
      </c>
      <c r="C16">
        <v>400</v>
      </c>
      <c r="D16" s="14" t="s">
        <v>71</v>
      </c>
      <c r="E16" t="s">
        <v>70</v>
      </c>
      <c r="F16" t="s">
        <v>368</v>
      </c>
      <c r="G16" s="6"/>
      <c r="O16" s="11"/>
      <c r="P16" s="2" t="s">
        <v>113</v>
      </c>
      <c r="Q16" s="2"/>
      <c r="R16" s="3">
        <v>14</v>
      </c>
      <c r="S16" s="3">
        <v>14</v>
      </c>
      <c r="T16" s="3">
        <v>12</v>
      </c>
      <c r="X16" s="22">
        <v>9780141188034</v>
      </c>
      <c r="Y16" s="4"/>
      <c r="Z16" s="4"/>
      <c r="AH16" t="str">
        <f t="shared" si="0"/>
        <v>covers/the-emperor.jpg</v>
      </c>
      <c r="AO16" s="25" t="s">
        <v>370</v>
      </c>
      <c r="AP16" s="26" t="s">
        <v>371</v>
      </c>
      <c r="AT16" t="s">
        <v>23</v>
      </c>
      <c r="AU16" t="s">
        <v>23</v>
      </c>
      <c r="AW16" t="s">
        <v>31</v>
      </c>
    </row>
    <row r="17" spans="1:52" x14ac:dyDescent="0.25">
      <c r="A17" t="s">
        <v>126</v>
      </c>
      <c r="B17" t="s">
        <v>74</v>
      </c>
      <c r="C17">
        <v>420</v>
      </c>
      <c r="D17" s="19" t="s">
        <v>75</v>
      </c>
      <c r="E17" t="s">
        <v>70</v>
      </c>
      <c r="F17" t="s">
        <v>368</v>
      </c>
      <c r="G17" s="6"/>
      <c r="O17" s="18"/>
      <c r="P17" s="2" t="s">
        <v>113</v>
      </c>
      <c r="Q17" s="2"/>
      <c r="R17" s="3">
        <v>17</v>
      </c>
      <c r="S17" s="3">
        <v>12</v>
      </c>
      <c r="T17" s="3">
        <v>11</v>
      </c>
      <c r="X17" s="22">
        <v>9780375726293</v>
      </c>
      <c r="Y17" s="4"/>
      <c r="Z17" s="4"/>
      <c r="AH17" t="str">
        <f>"covers/" &amp; A17 &amp; ".jpg"</f>
        <v>covers/another-day-of-life.jpg</v>
      </c>
      <c r="AO17" s="28" t="s">
        <v>377</v>
      </c>
      <c r="AT17" t="s">
        <v>23</v>
      </c>
      <c r="AU17" t="s">
        <v>23</v>
      </c>
      <c r="AW17" t="s">
        <v>31</v>
      </c>
    </row>
    <row r="18" spans="1:52" x14ac:dyDescent="0.25">
      <c r="A18" t="s">
        <v>372</v>
      </c>
      <c r="B18" t="s">
        <v>74</v>
      </c>
      <c r="C18">
        <v>440</v>
      </c>
      <c r="D18" s="14" t="s">
        <v>373</v>
      </c>
      <c r="E18" t="s">
        <v>70</v>
      </c>
      <c r="F18" t="s">
        <v>374</v>
      </c>
      <c r="G18" s="6"/>
      <c r="O18" s="11"/>
      <c r="P18" s="2" t="s">
        <v>113</v>
      </c>
      <c r="Q18" s="2" t="s">
        <v>267</v>
      </c>
      <c r="R18" s="3">
        <v>17</v>
      </c>
      <c r="X18" s="22">
        <v>9780679779070</v>
      </c>
      <c r="Y18" s="4"/>
      <c r="Z18" s="4"/>
      <c r="AH18" t="str">
        <f>"covers/" &amp; A18 &amp; ".jpg"</f>
        <v>covers/shadow-of-sun.jpg</v>
      </c>
      <c r="AO18" s="25" t="s">
        <v>375</v>
      </c>
      <c r="AP18" s="26" t="s">
        <v>376</v>
      </c>
      <c r="AT18" t="s">
        <v>23</v>
      </c>
      <c r="AU18" t="s">
        <v>23</v>
      </c>
      <c r="AW18" t="s">
        <v>31</v>
      </c>
    </row>
    <row r="19" spans="1:52" x14ac:dyDescent="0.25">
      <c r="A19" t="s">
        <v>80</v>
      </c>
      <c r="B19" t="s">
        <v>74</v>
      </c>
      <c r="C19">
        <v>600</v>
      </c>
      <c r="D19" s="14" t="s">
        <v>79</v>
      </c>
      <c r="E19" t="s">
        <v>77</v>
      </c>
      <c r="F19" t="s">
        <v>60</v>
      </c>
      <c r="G19" s="6" t="s">
        <v>112</v>
      </c>
      <c r="H19" s="7" t="s">
        <v>132</v>
      </c>
      <c r="I19" s="7">
        <v>25</v>
      </c>
      <c r="J19" s="7">
        <v>24</v>
      </c>
      <c r="K19" s="7">
        <v>22</v>
      </c>
      <c r="O19" s="11">
        <v>9782919820382</v>
      </c>
      <c r="P19" s="2"/>
      <c r="Q19" s="2"/>
      <c r="Y19" s="4"/>
      <c r="Z19" s="4"/>
      <c r="AH19" t="str">
        <f t="shared" si="0"/>
        <v>covers/meeting-in-oea.jpg</v>
      </c>
      <c r="AO19" s="25" t="s">
        <v>378</v>
      </c>
      <c r="AT19" t="s">
        <v>23</v>
      </c>
      <c r="AU19" t="s">
        <v>23</v>
      </c>
      <c r="AW19" t="s">
        <v>31</v>
      </c>
    </row>
    <row r="20" spans="1:52" x14ac:dyDescent="0.25">
      <c r="A20" t="s">
        <v>125</v>
      </c>
      <c r="B20" t="s">
        <v>74</v>
      </c>
      <c r="C20">
        <v>800</v>
      </c>
      <c r="D20" s="14" t="s">
        <v>81</v>
      </c>
      <c r="E20" t="s">
        <v>77</v>
      </c>
      <c r="F20" t="s">
        <v>60</v>
      </c>
      <c r="G20" s="6" t="s">
        <v>112</v>
      </c>
      <c r="H20" s="7" t="s">
        <v>132</v>
      </c>
      <c r="I20" s="7">
        <v>25</v>
      </c>
      <c r="J20" s="7">
        <v>24</v>
      </c>
      <c r="K20" s="7">
        <v>20</v>
      </c>
      <c r="O20" s="11">
        <v>9789998793729</v>
      </c>
      <c r="P20" s="2"/>
      <c r="Q20" s="2"/>
      <c r="Y20" s="4"/>
      <c r="Z20" s="4"/>
      <c r="AH20" t="str">
        <f t="shared" si="0"/>
        <v>covers/seven-against-thebes.jpg</v>
      </c>
      <c r="AO20" s="25" t="s">
        <v>379</v>
      </c>
      <c r="AT20" t="s">
        <v>23</v>
      </c>
      <c r="AU20" t="s">
        <v>23</v>
      </c>
      <c r="AW20" t="s">
        <v>31</v>
      </c>
    </row>
    <row r="21" spans="1:52" x14ac:dyDescent="0.25">
      <c r="A21" t="s">
        <v>84</v>
      </c>
      <c r="B21" t="s">
        <v>74</v>
      </c>
      <c r="C21">
        <v>900</v>
      </c>
      <c r="D21" s="14" t="s">
        <v>82</v>
      </c>
      <c r="E21" t="s">
        <v>77</v>
      </c>
      <c r="F21" t="s">
        <v>60</v>
      </c>
      <c r="G21" s="6" t="s">
        <v>112</v>
      </c>
      <c r="H21" s="7" t="s">
        <v>132</v>
      </c>
      <c r="I21" s="7">
        <v>27</v>
      </c>
      <c r="J21" s="7">
        <v>25</v>
      </c>
      <c r="K21" s="7">
        <v>22</v>
      </c>
      <c r="O21" s="11">
        <v>9782919840052</v>
      </c>
      <c r="P21" s="2"/>
      <c r="Q21" s="2"/>
      <c r="Y21" s="4"/>
      <c r="Z21" s="4"/>
      <c r="AH21" t="str">
        <f t="shared" si="0"/>
        <v>covers/emperor-julian.jpg</v>
      </c>
      <c r="AO21" s="25" t="s">
        <v>380</v>
      </c>
      <c r="AT21" t="s">
        <v>23</v>
      </c>
      <c r="AU21" t="s">
        <v>23</v>
      </c>
      <c r="AW21" t="s">
        <v>31</v>
      </c>
    </row>
    <row r="22" spans="1:52" x14ac:dyDescent="0.25">
      <c r="A22" t="s">
        <v>85</v>
      </c>
      <c r="B22" t="s">
        <v>74</v>
      </c>
      <c r="C22">
        <v>1000</v>
      </c>
      <c r="D22" s="14" t="s">
        <v>83</v>
      </c>
      <c r="E22" t="s">
        <v>77</v>
      </c>
      <c r="F22" t="s">
        <v>60</v>
      </c>
      <c r="G22" s="6" t="s">
        <v>112</v>
      </c>
      <c r="H22" s="7" t="s">
        <v>132</v>
      </c>
      <c r="I22" s="7">
        <v>25</v>
      </c>
      <c r="J22" s="7">
        <v>24</v>
      </c>
      <c r="K22" s="7">
        <v>20</v>
      </c>
      <c r="O22" s="11">
        <v>9782919820290</v>
      </c>
      <c r="P22" s="2"/>
      <c r="Q22" s="2"/>
      <c r="Y22" s="4"/>
      <c r="Z22" s="4"/>
      <c r="AH22" t="str">
        <f t="shared" si="0"/>
        <v>covers/last-olympiad.jpg</v>
      </c>
      <c r="AO22" s="25" t="s">
        <v>381</v>
      </c>
      <c r="AT22" t="s">
        <v>23</v>
      </c>
      <c r="AU22" t="s">
        <v>23</v>
      </c>
      <c r="AW22" t="s">
        <v>31</v>
      </c>
    </row>
    <row r="23" spans="1:52" x14ac:dyDescent="0.25">
      <c r="A23" t="s">
        <v>88</v>
      </c>
      <c r="B23" t="s">
        <v>302</v>
      </c>
      <c r="C23">
        <v>600</v>
      </c>
      <c r="D23" s="14" t="s">
        <v>89</v>
      </c>
      <c r="E23" t="s">
        <v>90</v>
      </c>
      <c r="F23" t="s">
        <v>91</v>
      </c>
      <c r="G23" s="6"/>
      <c r="O23" s="11"/>
      <c r="P23" s="2" t="s">
        <v>113</v>
      </c>
      <c r="Q23" s="2"/>
      <c r="R23" s="3">
        <v>10</v>
      </c>
      <c r="S23" s="3">
        <v>9</v>
      </c>
      <c r="T23" s="3">
        <v>8</v>
      </c>
      <c r="X23" s="21">
        <v>9780156027601</v>
      </c>
      <c r="Y23" s="4"/>
      <c r="Z23" s="4"/>
      <c r="AH23" t="str">
        <f t="shared" si="0"/>
        <v>covers/solaris.jpg</v>
      </c>
      <c r="AO23" s="25" t="s">
        <v>382</v>
      </c>
      <c r="AT23" t="s">
        <v>23</v>
      </c>
      <c r="AU23" t="s">
        <v>23</v>
      </c>
      <c r="AW23" t="s">
        <v>31</v>
      </c>
    </row>
    <row r="24" spans="1:52" x14ac:dyDescent="0.25">
      <c r="A24" t="s">
        <v>92</v>
      </c>
      <c r="B24" t="s">
        <v>302</v>
      </c>
      <c r="C24">
        <v>200</v>
      </c>
      <c r="D24" s="14" t="s">
        <v>93</v>
      </c>
      <c r="E24" t="s">
        <v>90</v>
      </c>
      <c r="F24" t="s">
        <v>94</v>
      </c>
      <c r="G24" s="6"/>
      <c r="O24" s="11"/>
      <c r="P24" s="2" t="s">
        <v>113</v>
      </c>
      <c r="Q24" s="2"/>
      <c r="R24" s="3">
        <v>17</v>
      </c>
      <c r="S24" s="3">
        <v>15</v>
      </c>
      <c r="T24" s="3">
        <v>12</v>
      </c>
      <c r="X24" s="21">
        <v>9780156306300</v>
      </c>
      <c r="Y24" s="4"/>
      <c r="Z24" s="4"/>
      <c r="AH24" t="str">
        <f t="shared" si="0"/>
        <v>covers/fiasco.jpg</v>
      </c>
      <c r="AO24" s="25" t="s">
        <v>383</v>
      </c>
      <c r="AT24" t="s">
        <v>23</v>
      </c>
      <c r="AU24" t="s">
        <v>23</v>
      </c>
      <c r="AW24" t="s">
        <v>31</v>
      </c>
    </row>
    <row r="25" spans="1:52" x14ac:dyDescent="0.25">
      <c r="A25" t="s">
        <v>124</v>
      </c>
      <c r="B25" t="s">
        <v>302</v>
      </c>
      <c r="C25">
        <v>600</v>
      </c>
      <c r="D25" s="14" t="s">
        <v>95</v>
      </c>
      <c r="E25" t="s">
        <v>90</v>
      </c>
      <c r="F25" t="s">
        <v>52</v>
      </c>
      <c r="G25" s="6"/>
      <c r="O25" s="11"/>
      <c r="P25" s="2" t="s">
        <v>113</v>
      </c>
      <c r="Q25" s="2"/>
      <c r="R25" s="3">
        <v>17</v>
      </c>
      <c r="S25" s="3">
        <v>16</v>
      </c>
      <c r="T25" s="3">
        <v>13</v>
      </c>
      <c r="X25" s="21">
        <v>9780262357685</v>
      </c>
      <c r="Y25" s="4"/>
      <c r="Z25" s="4"/>
      <c r="AH25" t="str">
        <f t="shared" si="0"/>
        <v>covers/the-invincible.jpg</v>
      </c>
      <c r="AO25" s="25" t="s">
        <v>384</v>
      </c>
      <c r="AT25" t="s">
        <v>23</v>
      </c>
      <c r="AU25" t="s">
        <v>23</v>
      </c>
      <c r="AW25" t="s">
        <v>31</v>
      </c>
    </row>
    <row r="26" spans="1:52" x14ac:dyDescent="0.25">
      <c r="A26" t="s">
        <v>108</v>
      </c>
      <c r="B26" t="s">
        <v>78</v>
      </c>
      <c r="C26">
        <v>100</v>
      </c>
      <c r="D26" s="14" t="s">
        <v>96</v>
      </c>
      <c r="E26" t="s">
        <v>59</v>
      </c>
      <c r="F26" t="s">
        <v>60</v>
      </c>
      <c r="G26" s="6"/>
      <c r="O26" s="11"/>
      <c r="P26" s="2" t="s">
        <v>113</v>
      </c>
      <c r="Q26" s="2"/>
      <c r="R26" s="3">
        <v>17</v>
      </c>
      <c r="S26" s="3">
        <v>16</v>
      </c>
      <c r="T26" s="3">
        <v>15</v>
      </c>
      <c r="X26" s="21">
        <v>9782919840106</v>
      </c>
      <c r="Y26" s="4"/>
      <c r="Z26" s="4"/>
      <c r="AH26" t="str">
        <f t="shared" si="0"/>
        <v>covers/chahary.jpg</v>
      </c>
      <c r="AT26" t="s">
        <v>23</v>
      </c>
      <c r="AU26" t="s">
        <v>23</v>
      </c>
      <c r="AW26" t="s">
        <v>31</v>
      </c>
      <c r="AY26" t="s">
        <v>123</v>
      </c>
      <c r="AZ26">
        <v>4</v>
      </c>
    </row>
    <row r="27" spans="1:52" x14ac:dyDescent="0.25">
      <c r="A27" t="s">
        <v>97</v>
      </c>
      <c r="B27" t="s">
        <v>216</v>
      </c>
      <c r="C27">
        <v>100</v>
      </c>
      <c r="D27" s="14" t="s">
        <v>101</v>
      </c>
      <c r="E27" t="s">
        <v>103</v>
      </c>
      <c r="F27" t="s">
        <v>60</v>
      </c>
      <c r="G27" s="6" t="s">
        <v>112</v>
      </c>
      <c r="H27" s="7" t="s">
        <v>132</v>
      </c>
      <c r="I27" s="7">
        <v>24</v>
      </c>
      <c r="J27" s="7">
        <v>24</v>
      </c>
      <c r="K27" s="7">
        <v>20</v>
      </c>
      <c r="O27" s="11">
        <v>9789998791671</v>
      </c>
      <c r="P27" s="2" t="s">
        <v>113</v>
      </c>
      <c r="Q27" s="2"/>
      <c r="R27" s="3">
        <v>17</v>
      </c>
      <c r="S27" s="3">
        <v>16</v>
      </c>
      <c r="T27" s="3">
        <v>15</v>
      </c>
      <c r="X27" s="21">
        <v>9789998791664</v>
      </c>
      <c r="Y27" s="4"/>
      <c r="Z27" s="4"/>
      <c r="AH27" t="str">
        <f t="shared" si="0"/>
        <v>covers/melicles.jpg</v>
      </c>
      <c r="AO27" s="25" t="s">
        <v>206</v>
      </c>
      <c r="AP27" s="26" t="s">
        <v>209</v>
      </c>
      <c r="AQ27" t="s">
        <v>185</v>
      </c>
      <c r="AR27" t="s">
        <v>210</v>
      </c>
      <c r="AS27" t="s">
        <v>211</v>
      </c>
      <c r="AT27" t="s">
        <v>23</v>
      </c>
      <c r="AU27" t="s">
        <v>23</v>
      </c>
      <c r="AW27" t="s">
        <v>31</v>
      </c>
    </row>
    <row r="28" spans="1:52" x14ac:dyDescent="0.25">
      <c r="A28" t="s">
        <v>98</v>
      </c>
      <c r="B28" t="s">
        <v>216</v>
      </c>
      <c r="C28">
        <v>600</v>
      </c>
      <c r="D28" s="14" t="s">
        <v>102</v>
      </c>
      <c r="E28" t="s">
        <v>103</v>
      </c>
      <c r="F28" t="s">
        <v>60</v>
      </c>
      <c r="G28" s="6" t="s">
        <v>112</v>
      </c>
      <c r="H28" s="7" t="s">
        <v>132</v>
      </c>
      <c r="I28" s="7">
        <v>24</v>
      </c>
      <c r="J28" s="7">
        <v>24</v>
      </c>
      <c r="K28" s="7">
        <v>20</v>
      </c>
      <c r="O28" s="11">
        <v>9789998791794</v>
      </c>
      <c r="P28" s="2"/>
      <c r="Q28" s="2"/>
      <c r="Y28" s="4"/>
      <c r="Z28" s="4"/>
      <c r="AH28" t="str">
        <f t="shared" si="0"/>
        <v>covers/diossos.jpg</v>
      </c>
      <c r="AO28" s="25" t="s">
        <v>385</v>
      </c>
      <c r="AT28" t="s">
        <v>23</v>
      </c>
      <c r="AU28" t="s">
        <v>23</v>
      </c>
      <c r="AW28" t="s">
        <v>31</v>
      </c>
    </row>
    <row r="29" spans="1:52" x14ac:dyDescent="0.25">
      <c r="A29" t="s">
        <v>107</v>
      </c>
      <c r="B29" t="s">
        <v>99</v>
      </c>
      <c r="C29">
        <v>220</v>
      </c>
      <c r="D29" s="14" t="s">
        <v>105</v>
      </c>
      <c r="E29" t="s">
        <v>12</v>
      </c>
      <c r="F29" t="s">
        <v>60</v>
      </c>
      <c r="G29" s="6" t="s">
        <v>112</v>
      </c>
      <c r="H29" s="7" t="s">
        <v>132</v>
      </c>
      <c r="I29" s="7">
        <v>21</v>
      </c>
      <c r="J29" s="7">
        <v>20</v>
      </c>
      <c r="K29" s="7">
        <v>18</v>
      </c>
      <c r="O29" s="10">
        <v>9782919820481</v>
      </c>
      <c r="P29" s="2"/>
      <c r="Q29" s="2"/>
      <c r="Y29" s="4"/>
      <c r="Z29" s="4"/>
      <c r="AH29" t="str">
        <f t="shared" si="0"/>
        <v>covers/white-jaguar-1.jpg</v>
      </c>
      <c r="AO29" s="25" t="s">
        <v>387</v>
      </c>
      <c r="AT29" t="s">
        <v>23</v>
      </c>
      <c r="AU29" t="s">
        <v>23</v>
      </c>
      <c r="AW29" t="s">
        <v>31</v>
      </c>
      <c r="AY29" t="s">
        <v>105</v>
      </c>
      <c r="AZ29">
        <v>1</v>
      </c>
    </row>
    <row r="30" spans="1:52" x14ac:dyDescent="0.25">
      <c r="A30" t="s">
        <v>106</v>
      </c>
      <c r="B30" t="s">
        <v>99</v>
      </c>
      <c r="C30">
        <v>200</v>
      </c>
      <c r="D30" s="14" t="s">
        <v>104</v>
      </c>
      <c r="E30" t="s">
        <v>104</v>
      </c>
      <c r="F30" t="s">
        <v>60</v>
      </c>
      <c r="G30" s="6" t="s">
        <v>112</v>
      </c>
      <c r="H30" s="7" t="s">
        <v>132</v>
      </c>
      <c r="I30" s="7">
        <v>21</v>
      </c>
      <c r="J30" s="7">
        <v>20</v>
      </c>
      <c r="K30" s="7">
        <v>18</v>
      </c>
      <c r="O30" s="10">
        <v>9782919820153</v>
      </c>
      <c r="P30" s="2"/>
      <c r="Q30" s="2"/>
      <c r="Y30" s="4"/>
      <c r="Z30" s="4"/>
      <c r="AH30" t="str">
        <f t="shared" si="0"/>
        <v>covers/ships-minos-1.jpg</v>
      </c>
      <c r="AO30" s="25" t="s">
        <v>386</v>
      </c>
      <c r="AT30" t="s">
        <v>23</v>
      </c>
      <c r="AU30" t="s">
        <v>23</v>
      </c>
      <c r="AW30" t="s">
        <v>31</v>
      </c>
      <c r="AY30" t="s">
        <v>104</v>
      </c>
      <c r="AZ30">
        <v>1</v>
      </c>
    </row>
    <row r="31" spans="1:52" x14ac:dyDescent="0.25">
      <c r="A31" t="s">
        <v>119</v>
      </c>
      <c r="B31" t="s">
        <v>40</v>
      </c>
      <c r="C31">
        <v>250</v>
      </c>
      <c r="D31" s="14" t="s">
        <v>116</v>
      </c>
      <c r="E31" t="s">
        <v>115</v>
      </c>
      <c r="F31" t="s">
        <v>60</v>
      </c>
      <c r="G31" s="6" t="s">
        <v>112</v>
      </c>
      <c r="H31" s="7" t="s">
        <v>132</v>
      </c>
      <c r="I31" s="7">
        <v>24</v>
      </c>
      <c r="O31" s="11">
        <v>9789998793781</v>
      </c>
      <c r="P31" s="2" t="s">
        <v>113</v>
      </c>
      <c r="Q31" s="2" t="s">
        <v>132</v>
      </c>
      <c r="R31" s="3">
        <v>16</v>
      </c>
      <c r="X31" s="21">
        <v>9789998793774</v>
      </c>
      <c r="Y31" s="4" t="s">
        <v>114</v>
      </c>
      <c r="Z31" s="4" t="s">
        <v>132</v>
      </c>
      <c r="AA31" s="5">
        <v>10</v>
      </c>
      <c r="AG31" s="8">
        <v>9789998793750</v>
      </c>
      <c r="AH31" t="str">
        <f t="shared" si="0"/>
        <v>covers/divine-julius.jpg</v>
      </c>
      <c r="AO31" s="25" t="s">
        <v>388</v>
      </c>
      <c r="AT31" t="s">
        <v>23</v>
      </c>
      <c r="AU31" t="s">
        <v>23</v>
      </c>
      <c r="AW31" t="s">
        <v>31</v>
      </c>
      <c r="AY31" t="s">
        <v>122</v>
      </c>
      <c r="AZ31">
        <v>1</v>
      </c>
    </row>
    <row r="32" spans="1:52" x14ac:dyDescent="0.25">
      <c r="A32" t="s">
        <v>120</v>
      </c>
      <c r="B32" t="s">
        <v>40</v>
      </c>
      <c r="C32">
        <v>450</v>
      </c>
      <c r="D32" s="14" t="s">
        <v>117</v>
      </c>
      <c r="E32" t="s">
        <v>115</v>
      </c>
      <c r="F32" t="s">
        <v>60</v>
      </c>
      <c r="G32" s="6" t="s">
        <v>112</v>
      </c>
      <c r="H32" s="7" t="s">
        <v>132</v>
      </c>
      <c r="I32" s="7">
        <v>25</v>
      </c>
      <c r="O32" s="11">
        <v>9782919820047</v>
      </c>
      <c r="P32" s="2" t="s">
        <v>113</v>
      </c>
      <c r="Q32" s="2" t="s">
        <v>132</v>
      </c>
      <c r="R32" s="3">
        <v>17</v>
      </c>
      <c r="X32" s="21">
        <v>9782919820054</v>
      </c>
      <c r="Y32" s="4" t="s">
        <v>114</v>
      </c>
      <c r="Z32" s="4" t="s">
        <v>132</v>
      </c>
      <c r="AA32" s="5">
        <v>10</v>
      </c>
      <c r="AG32" s="8">
        <v>9782919820016</v>
      </c>
      <c r="AH32" t="str">
        <f t="shared" si="0"/>
        <v>covers/naso-the-poet.jpg</v>
      </c>
      <c r="AO32" s="25" t="s">
        <v>389</v>
      </c>
      <c r="AT32" t="s">
        <v>23</v>
      </c>
      <c r="AU32" t="s">
        <v>23</v>
      </c>
      <c r="AW32" t="s">
        <v>31</v>
      </c>
      <c r="AY32" t="s">
        <v>122</v>
      </c>
      <c r="AZ32">
        <v>2</v>
      </c>
    </row>
    <row r="33" spans="1:52" x14ac:dyDescent="0.25">
      <c r="A33" t="s">
        <v>121</v>
      </c>
      <c r="B33" t="s">
        <v>40</v>
      </c>
      <c r="C33">
        <v>650</v>
      </c>
      <c r="D33" s="14" t="s">
        <v>118</v>
      </c>
      <c r="E33" t="s">
        <v>115</v>
      </c>
      <c r="F33" t="s">
        <v>60</v>
      </c>
      <c r="G33" s="6" t="s">
        <v>112</v>
      </c>
      <c r="H33" s="7" t="s">
        <v>132</v>
      </c>
      <c r="I33" s="7">
        <v>32</v>
      </c>
      <c r="O33" s="11">
        <v>9782919820467</v>
      </c>
      <c r="P33" s="2" t="s">
        <v>113</v>
      </c>
      <c r="Q33" s="2" t="s">
        <v>132</v>
      </c>
      <c r="R33" s="3">
        <v>18</v>
      </c>
      <c r="X33" s="21">
        <v>9782919820450</v>
      </c>
      <c r="Y33" s="4"/>
      <c r="Z33" s="4"/>
      <c r="AH33" t="str">
        <f t="shared" si="0"/>
        <v>covers/tiberius-caesar.jpg</v>
      </c>
      <c r="AO33" s="25" t="s">
        <v>390</v>
      </c>
      <c r="AT33" t="s">
        <v>23</v>
      </c>
      <c r="AU33" t="s">
        <v>23</v>
      </c>
      <c r="AW33" t="s">
        <v>31</v>
      </c>
      <c r="AY33" t="s">
        <v>122</v>
      </c>
      <c r="AZ33">
        <v>3</v>
      </c>
    </row>
    <row r="34" spans="1:52" x14ac:dyDescent="0.25">
      <c r="A34" t="s">
        <v>153</v>
      </c>
      <c r="B34" t="s">
        <v>127</v>
      </c>
      <c r="C34">
        <v>100</v>
      </c>
      <c r="D34" s="14" t="s">
        <v>154</v>
      </c>
      <c r="E34" t="s">
        <v>128</v>
      </c>
      <c r="G34" s="6"/>
      <c r="P34" s="2" t="s">
        <v>113</v>
      </c>
      <c r="Q34" s="2" t="s">
        <v>129</v>
      </c>
      <c r="R34" s="3">
        <v>14</v>
      </c>
      <c r="X34" s="21">
        <v>9780062095886</v>
      </c>
      <c r="Y34" s="4"/>
      <c r="Z34" s="4"/>
      <c r="AH34" t="str">
        <f t="shared" si="0"/>
        <v>covers/milosz-selected-and-last-poems.jpg</v>
      </c>
      <c r="AO34" s="25" t="s">
        <v>391</v>
      </c>
      <c r="AT34" t="s">
        <v>23</v>
      </c>
      <c r="AU34" t="s">
        <v>23</v>
      </c>
      <c r="AW34" t="s">
        <v>31</v>
      </c>
    </row>
    <row r="35" spans="1:52" x14ac:dyDescent="0.25">
      <c r="A35" t="s">
        <v>157</v>
      </c>
      <c r="B35" t="s">
        <v>127</v>
      </c>
      <c r="C35">
        <v>200</v>
      </c>
      <c r="D35" s="15" t="s">
        <v>155</v>
      </c>
      <c r="E35" t="s">
        <v>130</v>
      </c>
      <c r="G35" s="6" t="s">
        <v>112</v>
      </c>
      <c r="H35" s="7" t="s">
        <v>156</v>
      </c>
      <c r="I35" s="7">
        <v>38</v>
      </c>
      <c r="O35" s="10">
        <v>9780151003532</v>
      </c>
      <c r="P35" s="2" t="s">
        <v>113</v>
      </c>
      <c r="Q35" s="2" t="s">
        <v>129</v>
      </c>
      <c r="R35" s="3">
        <v>11</v>
      </c>
      <c r="X35" s="22">
        <v>9780156011464</v>
      </c>
      <c r="Y35" s="4"/>
      <c r="Z35" s="4"/>
      <c r="AH35" t="str">
        <f t="shared" si="0"/>
        <v>covers/poems-new-and-szymborska.jpg</v>
      </c>
      <c r="AO35" s="25" t="s">
        <v>392</v>
      </c>
      <c r="AT35" t="s">
        <v>23</v>
      </c>
      <c r="AU35" t="s">
        <v>23</v>
      </c>
      <c r="AW35" t="s">
        <v>31</v>
      </c>
    </row>
    <row r="36" spans="1:52" x14ac:dyDescent="0.25">
      <c r="A36" t="s">
        <v>158</v>
      </c>
      <c r="B36" t="s">
        <v>127</v>
      </c>
      <c r="C36">
        <v>300</v>
      </c>
      <c r="D36" s="15" t="s">
        <v>395</v>
      </c>
      <c r="E36" t="s">
        <v>133</v>
      </c>
      <c r="G36" s="6"/>
      <c r="P36" s="2" t="s">
        <v>113</v>
      </c>
      <c r="Q36" s="3" t="s">
        <v>129</v>
      </c>
      <c r="R36" s="3">
        <v>17</v>
      </c>
      <c r="X36" s="22">
        <v>9780060783952</v>
      </c>
      <c r="Y36" s="4"/>
      <c r="Z36" s="4"/>
      <c r="AH36" t="str">
        <f t="shared" si="0"/>
        <v>covers/poems-herbert.jpg</v>
      </c>
      <c r="AO36" s="25" t="s">
        <v>393</v>
      </c>
      <c r="AP36" s="26" t="s">
        <v>394</v>
      </c>
      <c r="AT36" t="s">
        <v>23</v>
      </c>
      <c r="AU36" t="s">
        <v>23</v>
      </c>
      <c r="AW36" t="s">
        <v>31</v>
      </c>
    </row>
    <row r="37" spans="1:52" x14ac:dyDescent="0.25">
      <c r="A37" t="s">
        <v>148</v>
      </c>
      <c r="B37" t="s">
        <v>127</v>
      </c>
      <c r="C37">
        <v>400</v>
      </c>
      <c r="D37" s="15" t="s">
        <v>135</v>
      </c>
      <c r="E37" t="s">
        <v>134</v>
      </c>
      <c r="G37" s="6"/>
      <c r="P37" s="2" t="s">
        <v>113</v>
      </c>
      <c r="Q37" s="3" t="s">
        <v>136</v>
      </c>
      <c r="R37" s="3">
        <v>15</v>
      </c>
      <c r="X37" s="21">
        <v>9780374528614</v>
      </c>
      <c r="Y37" s="4"/>
      <c r="Z37" s="4"/>
      <c r="AH37" t="str">
        <f t="shared" si="0"/>
        <v>covers/without-end.jpg</v>
      </c>
      <c r="AO37" s="25" t="s">
        <v>396</v>
      </c>
      <c r="AP37" s="26" t="s">
        <v>397</v>
      </c>
      <c r="AT37" t="s">
        <v>23</v>
      </c>
      <c r="AU37" t="s">
        <v>23</v>
      </c>
      <c r="AW37" t="s">
        <v>31</v>
      </c>
    </row>
    <row r="38" spans="1:52" x14ac:dyDescent="0.25">
      <c r="A38" t="s">
        <v>149</v>
      </c>
      <c r="B38" t="s">
        <v>127</v>
      </c>
      <c r="C38">
        <v>600</v>
      </c>
      <c r="D38" s="15" t="s">
        <v>140</v>
      </c>
      <c r="E38" t="s">
        <v>137</v>
      </c>
      <c r="F38" t="s">
        <v>159</v>
      </c>
      <c r="G38" s="6" t="s">
        <v>112</v>
      </c>
      <c r="H38" s="7" t="s">
        <v>138</v>
      </c>
      <c r="I38" s="7">
        <v>16</v>
      </c>
      <c r="O38" s="10">
        <v>9780393067798</v>
      </c>
      <c r="P38" s="2" t="s">
        <v>113</v>
      </c>
      <c r="Q38" s="2" t="str">
        <f>H38</f>
        <v>W. W. Norton</v>
      </c>
      <c r="R38" s="3">
        <v>19</v>
      </c>
      <c r="X38" s="21">
        <v>9780393345551</v>
      </c>
      <c r="Y38" s="4"/>
      <c r="Z38" s="4"/>
      <c r="AH38" t="str">
        <f t="shared" si="0"/>
        <v>covers/sobbing-superpower.jpg</v>
      </c>
      <c r="AO38" s="25" t="s">
        <v>398</v>
      </c>
      <c r="AP38" s="26" t="s">
        <v>399</v>
      </c>
      <c r="AT38" t="s">
        <v>23</v>
      </c>
      <c r="AU38" t="s">
        <v>23</v>
      </c>
      <c r="AW38" t="s">
        <v>31</v>
      </c>
    </row>
    <row r="39" spans="1:52" x14ac:dyDescent="0.25">
      <c r="A39" t="s">
        <v>150</v>
      </c>
      <c r="B39" t="s">
        <v>127</v>
      </c>
      <c r="C39">
        <v>700</v>
      </c>
      <c r="D39" s="15" t="s">
        <v>139</v>
      </c>
      <c r="E39" t="s">
        <v>130</v>
      </c>
      <c r="G39" s="6" t="s">
        <v>112</v>
      </c>
      <c r="H39" s="7" t="s">
        <v>131</v>
      </c>
      <c r="I39" s="7">
        <v>30</v>
      </c>
      <c r="O39" s="10">
        <v>9780544126022</v>
      </c>
      <c r="P39" s="2" t="s">
        <v>113</v>
      </c>
      <c r="Q39" s="2" t="str">
        <f>H39</f>
        <v>Mariner Books</v>
      </c>
      <c r="R39" s="3">
        <v>11</v>
      </c>
      <c r="X39" s="21">
        <v>9780544705159</v>
      </c>
      <c r="Y39" s="4"/>
      <c r="Z39" s="4"/>
      <c r="AH39" t="str">
        <f t="shared" si="0"/>
        <v>covers/map-collected-and-last.jpg</v>
      </c>
      <c r="AO39" s="25" t="s">
        <v>400</v>
      </c>
      <c r="AP39" s="26" t="s">
        <v>401</v>
      </c>
      <c r="AT39" t="s">
        <v>23</v>
      </c>
      <c r="AU39" t="s">
        <v>23</v>
      </c>
      <c r="AW39" t="s">
        <v>31</v>
      </c>
    </row>
    <row r="40" spans="1:52" x14ac:dyDescent="0.25">
      <c r="A40" t="s">
        <v>151</v>
      </c>
      <c r="B40" t="s">
        <v>127</v>
      </c>
      <c r="C40">
        <v>800</v>
      </c>
      <c r="D40" s="15" t="s">
        <v>141</v>
      </c>
      <c r="E40" s="9" t="s">
        <v>142</v>
      </c>
      <c r="F40" t="s">
        <v>143</v>
      </c>
      <c r="G40" s="6" t="s">
        <v>112</v>
      </c>
      <c r="H40" s="7" t="s">
        <v>132</v>
      </c>
      <c r="I40" s="7">
        <v>25</v>
      </c>
      <c r="O40" s="10">
        <v>9788367602488</v>
      </c>
      <c r="P40" s="2" t="s">
        <v>113</v>
      </c>
      <c r="Q40" s="2" t="str">
        <f>H40</f>
        <v>Mondrala Press</v>
      </c>
      <c r="R40" s="3">
        <v>11</v>
      </c>
      <c r="X40" s="21">
        <v>9788367602471</v>
      </c>
      <c r="Y40" s="4"/>
      <c r="Z40" s="4"/>
      <c r="AH40" t="str">
        <f t="shared" si="0"/>
        <v>covers/from-tree-of-knowledge.jpg</v>
      </c>
      <c r="AO40" s="25" t="s">
        <v>402</v>
      </c>
      <c r="AT40" t="s">
        <v>23</v>
      </c>
      <c r="AU40" t="s">
        <v>23</v>
      </c>
      <c r="AW40" t="s">
        <v>31</v>
      </c>
    </row>
    <row r="41" spans="1:52" x14ac:dyDescent="0.25">
      <c r="A41" t="s">
        <v>203</v>
      </c>
      <c r="B41" t="s">
        <v>127</v>
      </c>
      <c r="C41">
        <v>900</v>
      </c>
      <c r="D41" s="15" t="s">
        <v>144</v>
      </c>
      <c r="E41" t="s">
        <v>145</v>
      </c>
      <c r="G41" s="6"/>
      <c r="P41" s="2" t="s">
        <v>113</v>
      </c>
      <c r="Q41" s="2"/>
      <c r="R41" s="3">
        <v>7</v>
      </c>
      <c r="X41" s="21">
        <v>9798802065853</v>
      </c>
      <c r="Y41" s="4"/>
      <c r="Z41" s="4"/>
      <c r="AH41" t="str">
        <f t="shared" si="0"/>
        <v>covers/krzysztof-kamil-baczynski.jpg</v>
      </c>
      <c r="AO41" s="25" t="s">
        <v>403</v>
      </c>
      <c r="AT41" t="s">
        <v>23</v>
      </c>
      <c r="AU41" t="s">
        <v>23</v>
      </c>
      <c r="AW41" t="s">
        <v>31</v>
      </c>
    </row>
    <row r="42" spans="1:52" x14ac:dyDescent="0.25">
      <c r="A42" t="s">
        <v>152</v>
      </c>
      <c r="B42" t="s">
        <v>127</v>
      </c>
      <c r="C42">
        <v>1000</v>
      </c>
      <c r="D42" s="15" t="s">
        <v>147</v>
      </c>
      <c r="E42" t="s">
        <v>146</v>
      </c>
      <c r="F42" t="s">
        <v>52</v>
      </c>
      <c r="G42" s="6"/>
      <c r="P42" s="2" t="s">
        <v>113</v>
      </c>
      <c r="Q42" s="2"/>
      <c r="R42" s="3">
        <v>14</v>
      </c>
      <c r="X42" s="21">
        <v>9781931243810</v>
      </c>
      <c r="Y42" s="4"/>
      <c r="Z42" s="4"/>
      <c r="AH42" t="str">
        <f t="shared" si="0"/>
        <v>covers/white-magic-baczynski.jpg</v>
      </c>
      <c r="AO42" s="25" t="s">
        <v>404</v>
      </c>
      <c r="AT42" t="s">
        <v>23</v>
      </c>
      <c r="AU42" t="s">
        <v>23</v>
      </c>
      <c r="AW42" t="s">
        <v>31</v>
      </c>
    </row>
    <row r="43" spans="1:52" x14ac:dyDescent="0.25">
      <c r="A43" t="s">
        <v>199</v>
      </c>
      <c r="B43" t="s">
        <v>127</v>
      </c>
      <c r="C43">
        <v>1100</v>
      </c>
      <c r="D43" s="15" t="s">
        <v>200</v>
      </c>
      <c r="E43" t="s">
        <v>201</v>
      </c>
      <c r="F43" t="s">
        <v>201</v>
      </c>
      <c r="G43" s="6" t="s">
        <v>112</v>
      </c>
      <c r="H43" s="7" t="s">
        <v>132</v>
      </c>
      <c r="I43" s="7">
        <v>19</v>
      </c>
      <c r="O43" s="10">
        <v>9788367602426</v>
      </c>
      <c r="P43" s="2" t="s">
        <v>113</v>
      </c>
      <c r="Q43" s="2" t="str">
        <f>Q40</f>
        <v>Mondrala Press</v>
      </c>
      <c r="R43" s="3">
        <v>9.99</v>
      </c>
      <c r="X43" s="21">
        <v>9788367602419</v>
      </c>
      <c r="Y43" s="4"/>
      <c r="Z43" s="4"/>
      <c r="AH43" t="str">
        <f t="shared" si="0"/>
        <v>covers/new-poems-ukr-po.jpg</v>
      </c>
      <c r="AO43" s="25" t="s">
        <v>202</v>
      </c>
      <c r="AT43" t="s">
        <v>23</v>
      </c>
      <c r="AU43" t="s">
        <v>23</v>
      </c>
      <c r="AW43" t="s">
        <v>31</v>
      </c>
    </row>
    <row r="44" spans="1:52" x14ac:dyDescent="0.25">
      <c r="A44" t="s">
        <v>191</v>
      </c>
      <c r="B44" t="s">
        <v>304</v>
      </c>
      <c r="C44">
        <v>1000</v>
      </c>
      <c r="D44" s="15" t="s">
        <v>187</v>
      </c>
      <c r="E44" t="s">
        <v>186</v>
      </c>
      <c r="F44" t="s">
        <v>60</v>
      </c>
      <c r="G44" s="6" t="s">
        <v>112</v>
      </c>
      <c r="H44" s="7" t="s">
        <v>132</v>
      </c>
      <c r="I44" s="7">
        <v>26</v>
      </c>
      <c r="O44" s="10">
        <v>9782919820863</v>
      </c>
      <c r="P44" s="2" t="s">
        <v>113</v>
      </c>
      <c r="Q44" s="2" t="str">
        <f>Q43</f>
        <v>Mondrala Press</v>
      </c>
      <c r="R44" s="3">
        <v>13</v>
      </c>
      <c r="X44" s="21">
        <v>9782919820856</v>
      </c>
      <c r="Y44" s="4" t="s">
        <v>114</v>
      </c>
      <c r="Z44" s="4" t="s">
        <v>132</v>
      </c>
      <c r="AA44" s="5">
        <v>2.99</v>
      </c>
      <c r="AG44" s="4">
        <v>9782919820849</v>
      </c>
      <c r="AH44" t="str">
        <f t="shared" si="0"/>
        <v>covers/wheels-templars.jpg</v>
      </c>
      <c r="AO44" s="25" t="s">
        <v>196</v>
      </c>
      <c r="AT44" t="s">
        <v>23</v>
      </c>
      <c r="AU44" t="s">
        <v>23</v>
      </c>
      <c r="AW44" t="s">
        <v>31</v>
      </c>
    </row>
    <row r="45" spans="1:52" x14ac:dyDescent="0.25">
      <c r="A45" t="s">
        <v>194</v>
      </c>
      <c r="B45" t="s">
        <v>216</v>
      </c>
      <c r="C45">
        <v>1100</v>
      </c>
      <c r="D45" s="15" t="s">
        <v>188</v>
      </c>
      <c r="E45" t="s">
        <v>186</v>
      </c>
      <c r="F45" t="s">
        <v>60</v>
      </c>
      <c r="G45" s="6" t="s">
        <v>112</v>
      </c>
      <c r="H45" s="7" t="s">
        <v>132</v>
      </c>
      <c r="I45" s="7">
        <v>25</v>
      </c>
      <c r="O45" s="10">
        <v>9782919840014</v>
      </c>
      <c r="P45" s="2" t="s">
        <v>113</v>
      </c>
      <c r="Q45" s="2" t="str">
        <f>Q44</f>
        <v>Mondrala Press</v>
      </c>
      <c r="R45" s="3">
        <v>17</v>
      </c>
      <c r="X45" s="21">
        <v>9782919840021</v>
      </c>
      <c r="Y45" s="4" t="s">
        <v>114</v>
      </c>
      <c r="Z45" s="4" t="s">
        <v>132</v>
      </c>
      <c r="AA45" s="5">
        <v>9.99</v>
      </c>
      <c r="AG45" s="8">
        <v>9782919840038</v>
      </c>
      <c r="AH45" t="str">
        <f t="shared" si="0"/>
        <v>covers/wheels-mysteries.jpg</v>
      </c>
      <c r="AO45" s="25" t="s">
        <v>198</v>
      </c>
      <c r="AT45" t="s">
        <v>23</v>
      </c>
      <c r="AU45" t="s">
        <v>23</v>
      </c>
      <c r="AW45" t="s">
        <v>31</v>
      </c>
    </row>
    <row r="46" spans="1:52" x14ac:dyDescent="0.25">
      <c r="A46" t="s">
        <v>193</v>
      </c>
      <c r="B46" t="s">
        <v>216</v>
      </c>
      <c r="C46">
        <v>1200</v>
      </c>
      <c r="D46" s="15" t="s">
        <v>190</v>
      </c>
      <c r="E46" t="s">
        <v>186</v>
      </c>
      <c r="F46" t="s">
        <v>60</v>
      </c>
      <c r="G46" s="6" t="s">
        <v>112</v>
      </c>
      <c r="H46" s="7" t="s">
        <v>132</v>
      </c>
      <c r="I46" s="7">
        <v>25</v>
      </c>
      <c r="O46" s="10">
        <v>9782919820955</v>
      </c>
      <c r="P46" s="2" t="s">
        <v>113</v>
      </c>
      <c r="Q46" s="2" t="str">
        <f>Q43</f>
        <v>Mondrala Press</v>
      </c>
      <c r="R46" s="3">
        <v>15</v>
      </c>
      <c r="X46" s="22">
        <v>9782919820948</v>
      </c>
      <c r="Y46" s="4" t="s">
        <v>114</v>
      </c>
      <c r="Z46" s="4" t="s">
        <v>132</v>
      </c>
      <c r="AA46" s="5">
        <v>9.99</v>
      </c>
      <c r="AG46" s="4">
        <v>9782919820924</v>
      </c>
      <c r="AH46" t="str">
        <f t="shared" si="0"/>
        <v>covers/wheels-bandits.jpg</v>
      </c>
      <c r="AO46" s="25" t="s">
        <v>195</v>
      </c>
      <c r="AT46" t="s">
        <v>23</v>
      </c>
      <c r="AU46" t="s">
        <v>23</v>
      </c>
      <c r="AW46" t="s">
        <v>31</v>
      </c>
    </row>
    <row r="47" spans="1:52" x14ac:dyDescent="0.25">
      <c r="A47" t="s">
        <v>192</v>
      </c>
      <c r="B47" t="s">
        <v>216</v>
      </c>
      <c r="C47">
        <v>1300</v>
      </c>
      <c r="D47" s="15" t="s">
        <v>189</v>
      </c>
      <c r="E47" t="s">
        <v>186</v>
      </c>
      <c r="F47" t="s">
        <v>60</v>
      </c>
      <c r="G47" s="6" t="s">
        <v>112</v>
      </c>
      <c r="H47" s="7" t="s">
        <v>132</v>
      </c>
      <c r="I47" s="7">
        <v>25</v>
      </c>
      <c r="O47" s="10">
        <v>9782919820917</v>
      </c>
      <c r="P47" s="2" t="s">
        <v>113</v>
      </c>
      <c r="Q47" s="2" t="str">
        <f>Q44</f>
        <v>Mondrala Press</v>
      </c>
      <c r="R47" s="3">
        <v>13</v>
      </c>
      <c r="X47" s="21">
        <v>9782919820900</v>
      </c>
      <c r="Y47" s="4" t="s">
        <v>114</v>
      </c>
      <c r="Z47" s="4" t="s">
        <v>132</v>
      </c>
      <c r="AA47" s="5">
        <v>9.99</v>
      </c>
      <c r="AG47" s="4">
        <v>9782919820894</v>
      </c>
      <c r="AH47" t="str">
        <f t="shared" si="0"/>
        <v>covers/wheels-copernicus.jpg</v>
      </c>
      <c r="AO47" s="29" t="s">
        <v>197</v>
      </c>
      <c r="AT47" t="s">
        <v>23</v>
      </c>
      <c r="AU47" t="s">
        <v>23</v>
      </c>
      <c r="AW47" t="s">
        <v>31</v>
      </c>
    </row>
    <row r="48" spans="1:52" x14ac:dyDescent="0.25">
      <c r="A48" t="s">
        <v>212</v>
      </c>
      <c r="B48" t="s">
        <v>78</v>
      </c>
      <c r="C48">
        <v>525</v>
      </c>
      <c r="D48" s="15" t="s">
        <v>213</v>
      </c>
      <c r="E48" t="s">
        <v>214</v>
      </c>
      <c r="F48" t="s">
        <v>67</v>
      </c>
      <c r="P48" s="2" t="s">
        <v>113</v>
      </c>
      <c r="Q48" s="2" t="s">
        <v>438</v>
      </c>
      <c r="R48" s="3">
        <v>19</v>
      </c>
      <c r="X48" s="21">
        <v>9781905583393</v>
      </c>
      <c r="Y48" s="4" t="s">
        <v>114</v>
      </c>
      <c r="Z48" s="4" t="s">
        <v>132</v>
      </c>
      <c r="AA48" s="5">
        <v>5.99</v>
      </c>
      <c r="AG48" s="8">
        <v>9781905583829</v>
      </c>
      <c r="AH48" t="str">
        <f t="shared" si="0"/>
        <v>covers/cold-sea.jpg</v>
      </c>
      <c r="AO48" s="25" t="s">
        <v>215</v>
      </c>
      <c r="AT48" t="s">
        <v>23</v>
      </c>
      <c r="AU48" t="s">
        <v>23</v>
      </c>
      <c r="AW48" t="s">
        <v>31</v>
      </c>
    </row>
    <row r="49" spans="1:52" x14ac:dyDescent="0.25">
      <c r="A49" t="s">
        <v>217</v>
      </c>
      <c r="B49" t="s">
        <v>40</v>
      </c>
      <c r="C49">
        <v>235</v>
      </c>
      <c r="D49" s="15" t="s">
        <v>219</v>
      </c>
      <c r="E49" t="s">
        <v>220</v>
      </c>
      <c r="F49" t="s">
        <v>236</v>
      </c>
      <c r="G49" s="6" t="s">
        <v>112</v>
      </c>
      <c r="H49" s="7" t="s">
        <v>221</v>
      </c>
      <c r="I49" s="7">
        <v>47</v>
      </c>
      <c r="O49" s="13">
        <v>9780670834280</v>
      </c>
      <c r="P49" s="2" t="s">
        <v>113</v>
      </c>
      <c r="Q49" s="7" t="s">
        <v>221</v>
      </c>
      <c r="R49" s="3">
        <v>22</v>
      </c>
      <c r="X49" s="21">
        <v>9780140445800</v>
      </c>
      <c r="Y49" s="4" t="s">
        <v>114</v>
      </c>
      <c r="Z49" s="4" t="str">
        <f>Q49</f>
        <v>Viking Adult</v>
      </c>
      <c r="AA49" s="5">
        <v>13</v>
      </c>
      <c r="AG49" s="8">
        <v>9780141914138</v>
      </c>
      <c r="AH49" t="str">
        <f t="shared" si="0"/>
        <v>covers/saragossa.jpg</v>
      </c>
      <c r="AO49" s="29" t="s">
        <v>218</v>
      </c>
      <c r="AT49" t="s">
        <v>23</v>
      </c>
      <c r="AU49" t="s">
        <v>23</v>
      </c>
      <c r="AW49" t="s">
        <v>31</v>
      </c>
    </row>
    <row r="50" spans="1:52" x14ac:dyDescent="0.25">
      <c r="A50" t="s">
        <v>222</v>
      </c>
      <c r="B50" t="s">
        <v>40</v>
      </c>
      <c r="C50">
        <v>450</v>
      </c>
      <c r="D50" s="15" t="s">
        <v>241</v>
      </c>
      <c r="E50" t="s">
        <v>223</v>
      </c>
      <c r="F50" t="s">
        <v>67</v>
      </c>
      <c r="P50" s="2" t="s">
        <v>113</v>
      </c>
      <c r="Q50" s="7" t="s">
        <v>224</v>
      </c>
      <c r="R50" s="3">
        <v>28</v>
      </c>
      <c r="X50" s="21">
        <v>9789639241459</v>
      </c>
      <c r="Y50" s="4"/>
      <c r="Z50" s="4"/>
      <c r="AH50" t="str">
        <f t="shared" si="0"/>
        <v>covers/birch-grove.jpg</v>
      </c>
      <c r="AO50" s="25" t="s">
        <v>225</v>
      </c>
      <c r="AT50" t="s">
        <v>23</v>
      </c>
      <c r="AU50" t="s">
        <v>23</v>
      </c>
      <c r="AW50" t="s">
        <v>31</v>
      </c>
    </row>
    <row r="51" spans="1:52" x14ac:dyDescent="0.25">
      <c r="A51" t="s">
        <v>227</v>
      </c>
      <c r="B51" t="s">
        <v>40</v>
      </c>
      <c r="C51">
        <v>750</v>
      </c>
      <c r="D51" s="15" t="s">
        <v>226</v>
      </c>
      <c r="E51" t="s">
        <v>228</v>
      </c>
      <c r="F51" t="s">
        <v>229</v>
      </c>
      <c r="O51" s="6"/>
      <c r="P51" s="2" t="s">
        <v>113</v>
      </c>
      <c r="Q51" s="7" t="s">
        <v>230</v>
      </c>
      <c r="R51" s="3">
        <v>22</v>
      </c>
      <c r="X51" s="21">
        <v>9780810108066</v>
      </c>
      <c r="Y51" s="4"/>
      <c r="Z51" s="4"/>
      <c r="AH51" t="str">
        <f t="shared" si="0"/>
        <v>covers/danton-thermidor.jpg</v>
      </c>
      <c r="AO51" s="29" t="s">
        <v>231</v>
      </c>
      <c r="AT51" t="s">
        <v>23</v>
      </c>
      <c r="AU51" t="s">
        <v>23</v>
      </c>
      <c r="AW51" t="s">
        <v>31</v>
      </c>
    </row>
    <row r="52" spans="1:52" x14ac:dyDescent="0.25">
      <c r="A52" t="s">
        <v>232</v>
      </c>
      <c r="B52" t="s">
        <v>40</v>
      </c>
      <c r="C52">
        <v>800</v>
      </c>
      <c r="D52" s="15" t="s">
        <v>233</v>
      </c>
      <c r="E52" t="s">
        <v>235</v>
      </c>
      <c r="F52" t="s">
        <v>52</v>
      </c>
      <c r="P52" s="2" t="s">
        <v>113</v>
      </c>
      <c r="Q52" s="7" t="s">
        <v>224</v>
      </c>
      <c r="R52" s="3">
        <v>39</v>
      </c>
      <c r="X52" s="21">
        <v>9789637326899</v>
      </c>
      <c r="Y52" s="4"/>
      <c r="Z52" s="4"/>
      <c r="AH52" t="str">
        <f t="shared" si="0"/>
        <v>covers/coming-spring.jpg</v>
      </c>
      <c r="AO52" s="25" t="s">
        <v>234</v>
      </c>
      <c r="AT52" t="s">
        <v>23</v>
      </c>
      <c r="AU52" t="s">
        <v>23</v>
      </c>
      <c r="AW52" t="s">
        <v>31</v>
      </c>
    </row>
    <row r="53" spans="1:52" x14ac:dyDescent="0.25">
      <c r="A53" t="s">
        <v>246</v>
      </c>
      <c r="B53" t="s">
        <v>87</v>
      </c>
      <c r="C53">
        <v>900</v>
      </c>
      <c r="D53" s="15" t="s">
        <v>242</v>
      </c>
      <c r="E53" t="s">
        <v>243</v>
      </c>
      <c r="P53" s="2" t="s">
        <v>113</v>
      </c>
      <c r="Q53" s="7" t="s">
        <v>244</v>
      </c>
      <c r="R53" s="3">
        <v>57.99</v>
      </c>
      <c r="X53" s="21">
        <v>9781412865432</v>
      </c>
      <c r="Y53" s="4" t="s">
        <v>114</v>
      </c>
      <c r="Z53" s="5" t="str">
        <f>Q53</f>
        <v>Routledge</v>
      </c>
      <c r="AA53" s="5">
        <v>44</v>
      </c>
      <c r="AG53" s="8">
        <v>9781351623674</v>
      </c>
      <c r="AH53" t="str">
        <f t="shared" si="0"/>
        <v>covers/beniowski.jpg</v>
      </c>
      <c r="AO53" s="25" t="s">
        <v>245</v>
      </c>
      <c r="AT53" t="s">
        <v>23</v>
      </c>
      <c r="AU53" t="s">
        <v>23</v>
      </c>
      <c r="AW53" t="s">
        <v>30</v>
      </c>
    </row>
    <row r="54" spans="1:52" x14ac:dyDescent="0.25">
      <c r="A54" t="s">
        <v>247</v>
      </c>
      <c r="B54" t="s">
        <v>302</v>
      </c>
      <c r="C54">
        <v>600</v>
      </c>
      <c r="D54" s="15" t="s">
        <v>248</v>
      </c>
      <c r="E54" t="s">
        <v>249</v>
      </c>
      <c r="F54" s="16" t="s">
        <v>250</v>
      </c>
      <c r="P54" s="2" t="s">
        <v>113</v>
      </c>
      <c r="Q54" s="7" t="s">
        <v>251</v>
      </c>
      <c r="R54" s="3">
        <v>50</v>
      </c>
      <c r="X54" s="21">
        <v>9780316498845</v>
      </c>
      <c r="Y54" s="4"/>
      <c r="Z54" s="4"/>
      <c r="AH54" t="str">
        <f t="shared" si="0"/>
        <v>covers/witcher-set.jpg</v>
      </c>
      <c r="AO54" s="29" t="s">
        <v>252</v>
      </c>
      <c r="AT54" t="s">
        <v>23</v>
      </c>
      <c r="AU54" t="s">
        <v>23</v>
      </c>
      <c r="AW54" t="s">
        <v>31</v>
      </c>
    </row>
    <row r="55" spans="1:52" x14ac:dyDescent="0.25">
      <c r="A55" t="s">
        <v>253</v>
      </c>
      <c r="B55" t="s">
        <v>302</v>
      </c>
      <c r="C55">
        <v>850</v>
      </c>
      <c r="D55" s="15" t="s">
        <v>254</v>
      </c>
      <c r="E55" t="s">
        <v>249</v>
      </c>
      <c r="F55" t="s">
        <v>255</v>
      </c>
      <c r="P55" s="2" t="s">
        <v>113</v>
      </c>
      <c r="Q55" s="7" t="s">
        <v>251</v>
      </c>
      <c r="R55" s="3">
        <v>18</v>
      </c>
      <c r="X55" s="21">
        <v>9780316423694</v>
      </c>
      <c r="Y55" s="4"/>
      <c r="Z55" s="4"/>
      <c r="AH55" t="str">
        <f t="shared" si="0"/>
        <v>covers/tower-fools.jpg</v>
      </c>
      <c r="AO55" s="25" t="s">
        <v>256</v>
      </c>
      <c r="AT55" t="s">
        <v>23</v>
      </c>
      <c r="AU55" t="s">
        <v>23</v>
      </c>
      <c r="AW55" t="s">
        <v>31</v>
      </c>
      <c r="AY55" t="s">
        <v>257</v>
      </c>
      <c r="AZ55">
        <v>1</v>
      </c>
    </row>
    <row r="56" spans="1:52" x14ac:dyDescent="0.25">
      <c r="A56" t="s">
        <v>258</v>
      </c>
      <c r="B56" t="s">
        <v>302</v>
      </c>
      <c r="C56">
        <v>860</v>
      </c>
      <c r="D56" s="15" t="s">
        <v>259</v>
      </c>
      <c r="E56" t="s">
        <v>249</v>
      </c>
      <c r="F56" t="s">
        <v>255</v>
      </c>
      <c r="P56" s="2" t="s">
        <v>113</v>
      </c>
      <c r="Q56" s="7" t="s">
        <v>251</v>
      </c>
      <c r="R56" s="3">
        <v>9.99</v>
      </c>
      <c r="X56" s="21">
        <v>9780316423717</v>
      </c>
      <c r="Y56" s="4"/>
      <c r="Z56" s="4"/>
      <c r="AH56" t="str">
        <f t="shared" si="0"/>
        <v>covers/warrior-god.jpg</v>
      </c>
      <c r="AO56" s="29" t="s">
        <v>260</v>
      </c>
      <c r="AT56" t="s">
        <v>23</v>
      </c>
      <c r="AU56" t="s">
        <v>23</v>
      </c>
      <c r="AW56" t="s">
        <v>31</v>
      </c>
      <c r="AY56" t="s">
        <v>257</v>
      </c>
      <c r="AZ56">
        <v>2</v>
      </c>
    </row>
    <row r="57" spans="1:52" x14ac:dyDescent="0.25">
      <c r="A57" t="s">
        <v>261</v>
      </c>
      <c r="B57" t="s">
        <v>302</v>
      </c>
      <c r="C57">
        <v>870</v>
      </c>
      <c r="D57" s="15" t="s">
        <v>262</v>
      </c>
      <c r="E57" t="s">
        <v>249</v>
      </c>
      <c r="F57" t="s">
        <v>255</v>
      </c>
      <c r="P57" s="2" t="s">
        <v>113</v>
      </c>
      <c r="Q57" s="7" t="s">
        <v>251</v>
      </c>
      <c r="R57" s="3">
        <v>16</v>
      </c>
      <c r="X57" s="21">
        <v>9780316423755</v>
      </c>
      <c r="Y57" s="4"/>
      <c r="Z57" s="4"/>
      <c r="AH57" t="str">
        <f t="shared" si="0"/>
        <v>covers/light-perpetua.jpg</v>
      </c>
      <c r="AO57" s="25" t="s">
        <v>263</v>
      </c>
      <c r="AT57" t="s">
        <v>23</v>
      </c>
      <c r="AU57" t="s">
        <v>23</v>
      </c>
      <c r="AW57" t="s">
        <v>31</v>
      </c>
      <c r="AY57" t="s">
        <v>257</v>
      </c>
      <c r="AZ57">
        <v>3</v>
      </c>
    </row>
    <row r="58" spans="1:52" x14ac:dyDescent="0.25">
      <c r="A58" t="s">
        <v>264</v>
      </c>
      <c r="B58" t="s">
        <v>87</v>
      </c>
      <c r="C58">
        <v>553</v>
      </c>
      <c r="D58" s="15" t="s">
        <v>265</v>
      </c>
      <c r="E58" t="s">
        <v>266</v>
      </c>
      <c r="G58" s="6" t="s">
        <v>112</v>
      </c>
      <c r="H58" s="7" t="s">
        <v>267</v>
      </c>
      <c r="I58" s="7">
        <v>28</v>
      </c>
      <c r="O58" s="10">
        <v>9780465002375</v>
      </c>
      <c r="P58" s="2" t="s">
        <v>113</v>
      </c>
      <c r="Q58" s="7" t="s">
        <v>267</v>
      </c>
      <c r="R58" s="3">
        <v>22</v>
      </c>
      <c r="X58" s="21">
        <v>9781845951207</v>
      </c>
      <c r="Y58" s="4" t="s">
        <v>114</v>
      </c>
      <c r="Z58" s="4"/>
      <c r="AA58" s="5">
        <v>8.99</v>
      </c>
      <c r="AG58" s="8">
        <v>9780465012473</v>
      </c>
      <c r="AH58" t="str">
        <f t="shared" si="0"/>
        <v>covers/red-prince.jpg</v>
      </c>
      <c r="AO58" s="29" t="s">
        <v>268</v>
      </c>
      <c r="AT58" t="s">
        <v>23</v>
      </c>
      <c r="AU58" t="s">
        <v>23</v>
      </c>
      <c r="AW58" t="s">
        <v>30</v>
      </c>
    </row>
    <row r="59" spans="1:52" x14ac:dyDescent="0.25">
      <c r="A59" t="s">
        <v>270</v>
      </c>
      <c r="B59" t="s">
        <v>87</v>
      </c>
      <c r="C59">
        <v>572</v>
      </c>
      <c r="D59" s="15" t="s">
        <v>271</v>
      </c>
      <c r="E59" t="s">
        <v>272</v>
      </c>
      <c r="G59" s="6" t="s">
        <v>112</v>
      </c>
      <c r="H59" s="7" t="s">
        <v>274</v>
      </c>
      <c r="I59" s="7">
        <v>45</v>
      </c>
      <c r="O59" s="10">
        <v>9780801444715</v>
      </c>
      <c r="P59" s="2"/>
      <c r="Q59" s="7"/>
      <c r="Y59" s="4"/>
      <c r="Z59" s="4"/>
      <c r="AH59" t="str">
        <f t="shared" si="0"/>
        <v>covers/adam-mickiewicz.jpg</v>
      </c>
      <c r="AO59" s="29" t="s">
        <v>273</v>
      </c>
      <c r="AT59" t="s">
        <v>23</v>
      </c>
      <c r="AU59" t="s">
        <v>23</v>
      </c>
      <c r="AW59" t="s">
        <v>30</v>
      </c>
    </row>
    <row r="60" spans="1:52" x14ac:dyDescent="0.25">
      <c r="A60" t="s">
        <v>276</v>
      </c>
      <c r="B60" t="s">
        <v>127</v>
      </c>
      <c r="C60">
        <v>832</v>
      </c>
      <c r="D60" s="15" t="s">
        <v>275</v>
      </c>
      <c r="E60" t="s">
        <v>51</v>
      </c>
      <c r="F60" t="s">
        <v>279</v>
      </c>
      <c r="G60" s="6" t="s">
        <v>112</v>
      </c>
      <c r="H60" s="7" t="s">
        <v>278</v>
      </c>
      <c r="I60" s="7">
        <v>31</v>
      </c>
      <c r="O60" s="10">
        <v>9781911414018</v>
      </c>
      <c r="P60" s="2"/>
      <c r="Q60" s="7"/>
      <c r="Y60" s="4"/>
      <c r="Z60" s="4"/>
      <c r="AH60" t="str">
        <f t="shared" si="0"/>
        <v>covers/forefathers-eve.jpg</v>
      </c>
      <c r="AO60" s="29" t="s">
        <v>277</v>
      </c>
      <c r="AT60" t="s">
        <v>23</v>
      </c>
      <c r="AU60" t="s">
        <v>23</v>
      </c>
      <c r="AW60" t="s">
        <v>31</v>
      </c>
    </row>
    <row r="61" spans="1:52" x14ac:dyDescent="0.25">
      <c r="A61" t="s">
        <v>281</v>
      </c>
      <c r="B61" t="s">
        <v>127</v>
      </c>
      <c r="C61">
        <v>900</v>
      </c>
      <c r="D61" s="15" t="s">
        <v>280</v>
      </c>
      <c r="E61" t="s">
        <v>51</v>
      </c>
      <c r="F61" t="s">
        <v>279</v>
      </c>
      <c r="G61" s="6" t="s">
        <v>112</v>
      </c>
      <c r="H61" s="7" t="s">
        <v>278</v>
      </c>
      <c r="I61" s="7">
        <v>27</v>
      </c>
      <c r="O61" s="10">
        <v>9781804840016</v>
      </c>
      <c r="P61" s="2"/>
      <c r="Q61" s="7"/>
      <c r="Y61" s="4"/>
      <c r="Z61" s="4"/>
      <c r="AH61" t="str">
        <f t="shared" si="0"/>
        <v>covers/ballads-romances.jpg</v>
      </c>
      <c r="AO61" s="25" t="s">
        <v>282</v>
      </c>
      <c r="AT61" t="s">
        <v>23</v>
      </c>
      <c r="AU61" t="s">
        <v>23</v>
      </c>
      <c r="AW61" t="s">
        <v>31</v>
      </c>
    </row>
    <row r="62" spans="1:52" x14ac:dyDescent="0.25">
      <c r="A62" t="s">
        <v>283</v>
      </c>
      <c r="B62" t="s">
        <v>74</v>
      </c>
      <c r="C62">
        <v>902</v>
      </c>
      <c r="D62" s="15" t="s">
        <v>284</v>
      </c>
      <c r="E62" t="s">
        <v>128</v>
      </c>
      <c r="F62" t="s">
        <v>285</v>
      </c>
      <c r="G62" s="6"/>
      <c r="P62" s="2" t="s">
        <v>113</v>
      </c>
      <c r="Q62" s="7" t="s">
        <v>136</v>
      </c>
      <c r="R62" s="3">
        <v>16</v>
      </c>
      <c r="X62" s="21">
        <v>9780374528300</v>
      </c>
      <c r="Y62" s="4"/>
      <c r="Z62" s="4"/>
      <c r="AH62" t="str">
        <f t="shared" si="0"/>
        <v>covers/native-realm.jpg</v>
      </c>
      <c r="AO62" s="25" t="s">
        <v>286</v>
      </c>
      <c r="AT62" t="s">
        <v>23</v>
      </c>
      <c r="AU62" t="s">
        <v>23</v>
      </c>
      <c r="AW62" t="s">
        <v>31</v>
      </c>
    </row>
    <row r="63" spans="1:52" x14ac:dyDescent="0.25">
      <c r="A63" t="s">
        <v>287</v>
      </c>
      <c r="B63" t="s">
        <v>87</v>
      </c>
      <c r="C63">
        <v>903</v>
      </c>
      <c r="D63" s="15" t="s">
        <v>288</v>
      </c>
      <c r="E63" t="s">
        <v>128</v>
      </c>
      <c r="G63" s="6"/>
      <c r="P63" s="2" t="s">
        <v>113</v>
      </c>
      <c r="Q63" s="7" t="s">
        <v>289</v>
      </c>
      <c r="R63" s="3">
        <v>41</v>
      </c>
      <c r="X63" s="21">
        <v>9780520044777</v>
      </c>
      <c r="Y63" s="4"/>
      <c r="Z63" s="4"/>
      <c r="AH63" t="str">
        <f t="shared" si="0"/>
        <v>covers/history-lit-milosz.jpg</v>
      </c>
      <c r="AO63" s="25" t="s">
        <v>293</v>
      </c>
      <c r="AT63" t="s">
        <v>23</v>
      </c>
      <c r="AU63" t="s">
        <v>23</v>
      </c>
      <c r="AW63" t="s">
        <v>31</v>
      </c>
    </row>
    <row r="64" spans="1:52" x14ac:dyDescent="0.25">
      <c r="A64" t="s">
        <v>291</v>
      </c>
      <c r="B64" t="s">
        <v>127</v>
      </c>
      <c r="C64">
        <v>872</v>
      </c>
      <c r="D64" s="15" t="s">
        <v>290</v>
      </c>
      <c r="E64" t="s">
        <v>292</v>
      </c>
      <c r="G64" s="6"/>
      <c r="P64" s="2" t="s">
        <v>113</v>
      </c>
      <c r="Q64" s="7" t="s">
        <v>289</v>
      </c>
      <c r="R64" s="3">
        <v>22</v>
      </c>
      <c r="X64" s="21">
        <v>9780520044760</v>
      </c>
      <c r="Y64" s="4"/>
      <c r="Z64" s="4"/>
      <c r="AH64" t="str">
        <f t="shared" si="0"/>
        <v>covers/postwar-polish-poetry.jpg</v>
      </c>
      <c r="AO64" s="25" t="s">
        <v>294</v>
      </c>
      <c r="AT64" t="s">
        <v>23</v>
      </c>
      <c r="AU64" t="s">
        <v>23</v>
      </c>
      <c r="AW64" t="s">
        <v>31</v>
      </c>
    </row>
    <row r="65" spans="1:52" x14ac:dyDescent="0.25">
      <c r="A65" t="s">
        <v>295</v>
      </c>
      <c r="B65" t="s">
        <v>74</v>
      </c>
      <c r="C65">
        <v>457</v>
      </c>
      <c r="D65" s="15" t="s">
        <v>296</v>
      </c>
      <c r="E65" t="s">
        <v>128</v>
      </c>
      <c r="G65" s="6"/>
      <c r="P65" s="2" t="s">
        <v>113</v>
      </c>
      <c r="Q65" s="7" t="s">
        <v>267</v>
      </c>
      <c r="R65" s="3">
        <v>13</v>
      </c>
      <c r="X65" s="21">
        <v>9780679728566</v>
      </c>
      <c r="Y65" s="4"/>
      <c r="Z65" s="4"/>
      <c r="AH65" t="str">
        <f t="shared" si="0"/>
        <v>covers/captive-mind.jpg</v>
      </c>
      <c r="AO65" s="25" t="s">
        <v>297</v>
      </c>
      <c r="AT65" t="s">
        <v>23</v>
      </c>
      <c r="AU65" t="s">
        <v>23</v>
      </c>
      <c r="AW65" t="s">
        <v>31</v>
      </c>
    </row>
    <row r="66" spans="1:52" x14ac:dyDescent="0.25">
      <c r="A66" t="s">
        <v>299</v>
      </c>
      <c r="B66" t="s">
        <v>127</v>
      </c>
      <c r="C66">
        <v>1100</v>
      </c>
      <c r="D66" s="15" t="s">
        <v>298</v>
      </c>
      <c r="E66" t="s">
        <v>201</v>
      </c>
      <c r="F66" t="s">
        <v>300</v>
      </c>
      <c r="G66" s="6"/>
      <c r="P66" s="2" t="s">
        <v>113</v>
      </c>
      <c r="Q66" s="7"/>
      <c r="R66" s="3">
        <v>14</v>
      </c>
      <c r="X66" s="21">
        <v>9781419679995</v>
      </c>
      <c r="Y66" s="4"/>
      <c r="Z66" s="4"/>
      <c r="AH66" t="str">
        <f t="shared" si="0"/>
        <v>covers/selected-masterpieces.jpg</v>
      </c>
      <c r="AO66" s="25" t="s">
        <v>301</v>
      </c>
      <c r="AT66" t="s">
        <v>23</v>
      </c>
      <c r="AU66" t="s">
        <v>23</v>
      </c>
      <c r="AW66" t="s">
        <v>31</v>
      </c>
    </row>
    <row r="67" spans="1:52" x14ac:dyDescent="0.25">
      <c r="A67" t="s">
        <v>306</v>
      </c>
      <c r="B67" t="s">
        <v>78</v>
      </c>
      <c r="C67">
        <v>1200</v>
      </c>
      <c r="D67" s="15" t="s">
        <v>305</v>
      </c>
      <c r="E67" t="s">
        <v>307</v>
      </c>
      <c r="G67" s="6"/>
      <c r="P67" s="2" t="s">
        <v>113</v>
      </c>
      <c r="Q67" s="7" t="s">
        <v>308</v>
      </c>
      <c r="R67" s="3">
        <v>30</v>
      </c>
      <c r="X67" s="21">
        <v>9781734860610</v>
      </c>
      <c r="Y67" s="4" t="s">
        <v>114</v>
      </c>
      <c r="Z67" s="4" t="str">
        <f>Q67</f>
        <v>Royal Hawaiian Press</v>
      </c>
      <c r="AA67" s="5">
        <v>9.99</v>
      </c>
      <c r="AG67" s="8">
        <v>9781386745006</v>
      </c>
      <c r="AH67" t="str">
        <f>"covers/" &amp; A67 &amp; ".jpg"</f>
        <v>covers/hyenas-lotuses.jpg</v>
      </c>
      <c r="AO67" s="25" t="s">
        <v>309</v>
      </c>
      <c r="AT67" t="s">
        <v>23</v>
      </c>
      <c r="AU67" t="s">
        <v>23</v>
      </c>
      <c r="AW67" t="s">
        <v>31</v>
      </c>
    </row>
    <row r="68" spans="1:52" x14ac:dyDescent="0.25">
      <c r="A68" t="s">
        <v>313</v>
      </c>
      <c r="B68" t="s">
        <v>78</v>
      </c>
      <c r="C68">
        <v>1300</v>
      </c>
      <c r="D68" s="15" t="s">
        <v>312</v>
      </c>
      <c r="E68" t="s">
        <v>311</v>
      </c>
      <c r="G68" s="6"/>
      <c r="P68" s="2" t="s">
        <v>113</v>
      </c>
      <c r="Q68" s="10" t="s">
        <v>323</v>
      </c>
      <c r="R68" s="3">
        <v>19</v>
      </c>
      <c r="X68" s="21">
        <v>9781250218018</v>
      </c>
      <c r="Y68" s="4" t="s">
        <v>114</v>
      </c>
      <c r="Z68" s="4" t="s">
        <v>323</v>
      </c>
      <c r="AA68" s="5">
        <v>11.99</v>
      </c>
      <c r="AG68" s="8">
        <v>9781250217981</v>
      </c>
      <c r="AH68" t="str">
        <f>"covers/" &amp; A68 &amp; ".jpg"</f>
        <v>covers/widow-queen.jpg</v>
      </c>
      <c r="AO68" s="25" t="s">
        <v>310</v>
      </c>
      <c r="AP68" s="26" t="s">
        <v>315</v>
      </c>
      <c r="AQ68" t="s">
        <v>316</v>
      </c>
      <c r="AR68" t="s">
        <v>317</v>
      </c>
      <c r="AS68" t="s">
        <v>318</v>
      </c>
      <c r="AT68" t="s">
        <v>23</v>
      </c>
      <c r="AU68" t="s">
        <v>23</v>
      </c>
      <c r="AW68" t="s">
        <v>31</v>
      </c>
      <c r="AY68" t="s">
        <v>314</v>
      </c>
      <c r="AZ68">
        <v>1</v>
      </c>
    </row>
    <row r="69" spans="1:52" x14ac:dyDescent="0.25">
      <c r="A69" t="s">
        <v>320</v>
      </c>
      <c r="B69" t="s">
        <v>78</v>
      </c>
      <c r="C69">
        <v>1350</v>
      </c>
      <c r="D69" s="15" t="s">
        <v>319</v>
      </c>
      <c r="E69" t="s">
        <v>311</v>
      </c>
      <c r="F69" t="s">
        <v>321</v>
      </c>
      <c r="G69" s="6" t="s">
        <v>112</v>
      </c>
      <c r="H69" s="7" t="s">
        <v>323</v>
      </c>
      <c r="I69" s="7">
        <v>28.99</v>
      </c>
      <c r="O69" s="10">
        <v>9781250775740</v>
      </c>
      <c r="P69" s="2" t="s">
        <v>113</v>
      </c>
      <c r="Q69" s="7" t="s">
        <v>323</v>
      </c>
      <c r="R69" s="3">
        <v>20.99</v>
      </c>
      <c r="X69" s="21">
        <v>9781250775764</v>
      </c>
      <c r="Y69" s="4"/>
      <c r="Z69" s="4"/>
      <c r="AH69" t="str">
        <f>"covers/" &amp; A69 &amp; ".jpg"</f>
        <v>covers/last-crown.jpg</v>
      </c>
      <c r="AO69" s="25" t="s">
        <v>322</v>
      </c>
      <c r="AP69" s="26" t="s">
        <v>315</v>
      </c>
      <c r="AQ69" t="s">
        <v>316</v>
      </c>
      <c r="AR69" t="s">
        <v>317</v>
      </c>
      <c r="AS69" t="s">
        <v>318</v>
      </c>
      <c r="AT69" t="s">
        <v>23</v>
      </c>
      <c r="AU69" t="s">
        <v>23</v>
      </c>
      <c r="AW69" t="s">
        <v>31</v>
      </c>
      <c r="AY69" t="s">
        <v>314</v>
      </c>
      <c r="AZ69">
        <v>2</v>
      </c>
    </row>
    <row r="70" spans="1:52" x14ac:dyDescent="0.25">
      <c r="A70" t="s">
        <v>269</v>
      </c>
      <c r="B70" t="s">
        <v>40</v>
      </c>
      <c r="C70">
        <v>900</v>
      </c>
      <c r="D70" s="15" t="s">
        <v>238</v>
      </c>
      <c r="E70" t="s">
        <v>235</v>
      </c>
      <c r="F70" t="s">
        <v>239</v>
      </c>
      <c r="G70" s="6"/>
      <c r="P70" s="2" t="s">
        <v>113</v>
      </c>
      <c r="Q70" s="7" t="s">
        <v>240</v>
      </c>
      <c r="R70" s="3">
        <v>24.99</v>
      </c>
      <c r="X70" s="21">
        <v>9781589881846</v>
      </c>
      <c r="Y70" s="4" t="s">
        <v>114</v>
      </c>
      <c r="Z70" s="4" t="s">
        <v>240</v>
      </c>
      <c r="AA70" s="5">
        <v>9.99</v>
      </c>
      <c r="AG70" s="8">
        <v>9781589883802</v>
      </c>
      <c r="AH70" t="str">
        <f t="shared" ref="AH70" si="1">"covers/" &amp; A70 &amp; ".jpg"</f>
        <v>covers/the-homeless.jpg</v>
      </c>
      <c r="AO70" s="25" t="s">
        <v>237</v>
      </c>
      <c r="AT70" t="s">
        <v>23</v>
      </c>
      <c r="AU70" t="s">
        <v>23</v>
      </c>
      <c r="AW70" t="s">
        <v>31</v>
      </c>
    </row>
    <row r="71" spans="1:52" x14ac:dyDescent="0.25">
      <c r="A71" t="s">
        <v>342</v>
      </c>
      <c r="B71" t="s">
        <v>40</v>
      </c>
      <c r="C71">
        <v>725</v>
      </c>
      <c r="D71" s="15" t="s">
        <v>343</v>
      </c>
      <c r="E71" t="s">
        <v>344</v>
      </c>
      <c r="F71" t="s">
        <v>408</v>
      </c>
      <c r="G71" s="6"/>
      <c r="P71" s="2" t="s">
        <v>113</v>
      </c>
      <c r="Q71" s="7" t="s">
        <v>346</v>
      </c>
      <c r="R71" s="3">
        <v>17</v>
      </c>
      <c r="X71" s="21">
        <v>9780300181678</v>
      </c>
      <c r="Y71" s="4"/>
      <c r="Z71" s="4"/>
      <c r="AH71" t="str">
        <f t="shared" ref="AH71:AH98" si="2">"covers/" &amp; A71 &amp; ".jpg"</f>
        <v>covers/ferdydurke.jpg</v>
      </c>
      <c r="AO71" s="25" t="s">
        <v>345</v>
      </c>
      <c r="AP71" s="26" t="s">
        <v>347</v>
      </c>
      <c r="AT71" t="s">
        <v>23</v>
      </c>
      <c r="AU71" t="s">
        <v>23</v>
      </c>
      <c r="AW71" t="s">
        <v>31</v>
      </c>
    </row>
    <row r="72" spans="1:52" x14ac:dyDescent="0.25">
      <c r="A72" t="s">
        <v>350</v>
      </c>
      <c r="B72" t="s">
        <v>78</v>
      </c>
      <c r="C72">
        <v>775</v>
      </c>
      <c r="D72" s="15" t="s">
        <v>349</v>
      </c>
      <c r="E72" t="s">
        <v>344</v>
      </c>
      <c r="F72" t="s">
        <v>67</v>
      </c>
      <c r="G72" s="6"/>
      <c r="P72" s="2" t="s">
        <v>113</v>
      </c>
      <c r="Q72" s="7" t="s">
        <v>351</v>
      </c>
      <c r="R72" s="3">
        <v>17</v>
      </c>
      <c r="X72" s="21">
        <v>9780802162526</v>
      </c>
      <c r="Y72" s="4"/>
      <c r="Z72" s="4"/>
      <c r="AH72" t="str">
        <f t="shared" si="2"/>
        <v>covers/the-possessed.jpg</v>
      </c>
      <c r="AO72" s="25" t="s">
        <v>348</v>
      </c>
      <c r="AP72" s="26" t="s">
        <v>352</v>
      </c>
      <c r="AT72" t="s">
        <v>23</v>
      </c>
      <c r="AU72" t="s">
        <v>23</v>
      </c>
      <c r="AW72" t="s">
        <v>31</v>
      </c>
    </row>
    <row r="73" spans="1:52" x14ac:dyDescent="0.25">
      <c r="A73" t="s">
        <v>354</v>
      </c>
      <c r="B73" t="s">
        <v>78</v>
      </c>
      <c r="C73">
        <v>345</v>
      </c>
      <c r="D73" s="15" t="s">
        <v>353</v>
      </c>
      <c r="E73" t="s">
        <v>355</v>
      </c>
      <c r="F73" t="s">
        <v>356</v>
      </c>
      <c r="G73" s="6"/>
      <c r="P73" s="2" t="s">
        <v>113</v>
      </c>
      <c r="Q73" s="7" t="s">
        <v>411</v>
      </c>
      <c r="R73" s="3">
        <v>18</v>
      </c>
      <c r="X73" s="21">
        <v>9780525534204</v>
      </c>
      <c r="Y73" s="4"/>
      <c r="Z73" s="4"/>
      <c r="AH73" t="str">
        <f t="shared" si="2"/>
        <v>covers/flights.jpg</v>
      </c>
      <c r="AO73" s="25" t="s">
        <v>357</v>
      </c>
      <c r="AP73" s="26" t="s">
        <v>358</v>
      </c>
      <c r="AT73" t="s">
        <v>23</v>
      </c>
      <c r="AU73" t="s">
        <v>23</v>
      </c>
      <c r="AW73" t="s">
        <v>31</v>
      </c>
    </row>
    <row r="74" spans="1:52" x14ac:dyDescent="0.25">
      <c r="A74" t="s">
        <v>405</v>
      </c>
      <c r="B74" t="s">
        <v>78</v>
      </c>
      <c r="C74">
        <v>650</v>
      </c>
      <c r="D74" s="15" t="s">
        <v>406</v>
      </c>
      <c r="E74" t="s">
        <v>407</v>
      </c>
      <c r="F74" t="s">
        <v>321</v>
      </c>
      <c r="G74" s="6"/>
      <c r="P74" s="2" t="s">
        <v>113</v>
      </c>
      <c r="Q74" s="7" t="s">
        <v>410</v>
      </c>
      <c r="R74" s="3">
        <v>15</v>
      </c>
      <c r="X74" s="21">
        <v>9781628971637</v>
      </c>
      <c r="Y74" s="4"/>
      <c r="Z74" s="4"/>
      <c r="AH74" t="str">
        <f t="shared" si="2"/>
        <v>covers/gestures.jpg</v>
      </c>
      <c r="AO74" s="25" t="s">
        <v>409</v>
      </c>
      <c r="AT74" t="s">
        <v>23</v>
      </c>
      <c r="AU74" t="s">
        <v>23</v>
      </c>
      <c r="AW74" t="s">
        <v>31</v>
      </c>
    </row>
    <row r="75" spans="1:52" x14ac:dyDescent="0.25">
      <c r="A75" t="s">
        <v>415</v>
      </c>
      <c r="B75" t="s">
        <v>78</v>
      </c>
      <c r="C75">
        <v>675</v>
      </c>
      <c r="D75" s="15" t="s">
        <v>416</v>
      </c>
      <c r="E75" t="s">
        <v>417</v>
      </c>
      <c r="F75" t="s">
        <v>356</v>
      </c>
      <c r="G75" s="6"/>
      <c r="P75" s="2" t="s">
        <v>113</v>
      </c>
      <c r="Q75" s="7" t="s">
        <v>414</v>
      </c>
      <c r="R75" s="3">
        <v>15</v>
      </c>
      <c r="X75" s="21">
        <v>9781945492235</v>
      </c>
      <c r="Y75" s="4"/>
      <c r="Z75" s="4"/>
      <c r="AH75" t="str">
        <f t="shared" si="2"/>
        <v>covers/accommodations.jpg</v>
      </c>
      <c r="AO75" s="25" t="s">
        <v>412</v>
      </c>
      <c r="AP75" s="26" t="s">
        <v>413</v>
      </c>
      <c r="AT75" t="s">
        <v>23</v>
      </c>
      <c r="AU75" t="s">
        <v>23</v>
      </c>
      <c r="AW75" t="s">
        <v>31</v>
      </c>
    </row>
    <row r="76" spans="1:52" x14ac:dyDescent="0.25">
      <c r="A76" t="s">
        <v>418</v>
      </c>
      <c r="B76" t="s">
        <v>78</v>
      </c>
      <c r="C76">
        <v>677</v>
      </c>
      <c r="D76" s="15" t="s">
        <v>419</v>
      </c>
      <c r="E76" t="s">
        <v>417</v>
      </c>
      <c r="F76" t="s">
        <v>422</v>
      </c>
      <c r="G76" s="6"/>
      <c r="P76" s="2" t="s">
        <v>113</v>
      </c>
      <c r="Q76" s="7" t="s">
        <v>414</v>
      </c>
      <c r="R76" s="3">
        <v>20</v>
      </c>
      <c r="X76" s="21">
        <v>9781945492044</v>
      </c>
      <c r="Y76" s="4"/>
      <c r="Z76" s="4"/>
      <c r="AH76" t="str">
        <f t="shared" si="2"/>
        <v>covers/swallowing-mercury.jpg</v>
      </c>
      <c r="AO76" s="25" t="s">
        <v>421</v>
      </c>
      <c r="AP76" s="26" t="s">
        <v>420</v>
      </c>
      <c r="AT76" t="s">
        <v>23</v>
      </c>
      <c r="AU76" t="s">
        <v>23</v>
      </c>
      <c r="AW76" t="s">
        <v>31</v>
      </c>
    </row>
    <row r="77" spans="1:52" x14ac:dyDescent="0.25">
      <c r="A77" t="s">
        <v>423</v>
      </c>
      <c r="B77" t="s">
        <v>78</v>
      </c>
      <c r="C77">
        <v>576</v>
      </c>
      <c r="D77" s="15" t="s">
        <v>624</v>
      </c>
      <c r="E77" t="s">
        <v>424</v>
      </c>
      <c r="F77" t="s">
        <v>239</v>
      </c>
      <c r="G77" s="6"/>
      <c r="P77" s="2" t="s">
        <v>113</v>
      </c>
      <c r="Q77" s="7" t="s">
        <v>426</v>
      </c>
      <c r="X77" s="21">
        <v>9781589880900</v>
      </c>
      <c r="Y77" s="4"/>
      <c r="Z77" s="4"/>
      <c r="AH77" t="str">
        <f t="shared" si="2"/>
        <v>covers/stone-tablets.jpg</v>
      </c>
      <c r="AO77" s="25" t="s">
        <v>425</v>
      </c>
      <c r="AT77" t="s">
        <v>23</v>
      </c>
      <c r="AU77" t="s">
        <v>23</v>
      </c>
      <c r="AW77" t="s">
        <v>31</v>
      </c>
    </row>
    <row r="78" spans="1:52" x14ac:dyDescent="0.25">
      <c r="A78" t="s">
        <v>427</v>
      </c>
      <c r="B78" t="s">
        <v>78</v>
      </c>
      <c r="C78">
        <v>625</v>
      </c>
      <c r="D78" s="15" t="s">
        <v>432</v>
      </c>
      <c r="E78" s="15" t="s">
        <v>431</v>
      </c>
      <c r="F78" t="s">
        <v>374</v>
      </c>
      <c r="G78" s="6"/>
      <c r="P78" s="2" t="s">
        <v>113</v>
      </c>
      <c r="Q78" s="7" t="s">
        <v>430</v>
      </c>
      <c r="R78" s="3">
        <v>17</v>
      </c>
      <c r="X78" s="21">
        <v>9780802160430</v>
      </c>
      <c r="Y78" s="4" t="s">
        <v>114</v>
      </c>
      <c r="Z78" s="4" t="s">
        <v>430</v>
      </c>
      <c r="AA78" s="5">
        <v>9.99</v>
      </c>
      <c r="AG78" s="8">
        <v>9780802162236</v>
      </c>
      <c r="AH78" t="str">
        <f t="shared" si="2"/>
        <v>covers/beautiful-mrs-seidenman.jpg</v>
      </c>
      <c r="AO78" s="25" t="s">
        <v>428</v>
      </c>
      <c r="AP78" s="26" t="s">
        <v>429</v>
      </c>
      <c r="AT78" t="s">
        <v>23</v>
      </c>
      <c r="AU78" t="s">
        <v>23</v>
      </c>
      <c r="AW78" t="s">
        <v>31</v>
      </c>
    </row>
    <row r="79" spans="1:52" x14ac:dyDescent="0.25">
      <c r="A79" t="s">
        <v>434</v>
      </c>
      <c r="B79" t="s">
        <v>216</v>
      </c>
      <c r="C79">
        <v>750</v>
      </c>
      <c r="D79" s="15" t="s">
        <v>435</v>
      </c>
      <c r="E79" t="s">
        <v>436</v>
      </c>
      <c r="F79" t="s">
        <v>422</v>
      </c>
      <c r="G79" s="6"/>
      <c r="P79" s="2" t="s">
        <v>113</v>
      </c>
      <c r="Q79" s="7" t="s">
        <v>437</v>
      </c>
      <c r="R79" s="3">
        <v>15</v>
      </c>
      <c r="X79" s="21">
        <v>9781782695141</v>
      </c>
      <c r="Y79" s="4"/>
      <c r="Z79" s="4"/>
      <c r="AH79" t="str">
        <f t="shared" si="2"/>
        <v>covers/nosegood-investigates.jpg</v>
      </c>
      <c r="AO79" s="30" t="s">
        <v>433</v>
      </c>
      <c r="AT79" t="s">
        <v>23</v>
      </c>
      <c r="AU79" t="s">
        <v>23</v>
      </c>
      <c r="AW79" t="s">
        <v>31</v>
      </c>
    </row>
    <row r="80" spans="1:52" x14ac:dyDescent="0.25">
      <c r="A80" t="s">
        <v>440</v>
      </c>
      <c r="B80" t="s">
        <v>74</v>
      </c>
      <c r="C80">
        <v>800</v>
      </c>
      <c r="D80" s="15" t="s">
        <v>439</v>
      </c>
      <c r="E80" t="s">
        <v>486</v>
      </c>
      <c r="F80" t="s">
        <v>67</v>
      </c>
      <c r="G80" s="6"/>
      <c r="P80" s="2" t="s">
        <v>113</v>
      </c>
      <c r="Q80" s="7" t="s">
        <v>448</v>
      </c>
      <c r="R80" s="3">
        <v>19</v>
      </c>
      <c r="X80" s="21">
        <v>9780143129752</v>
      </c>
      <c r="Y80" s="4"/>
      <c r="Z80" s="4"/>
      <c r="AH80" t="str">
        <f t="shared" si="2"/>
        <v>covers/feed-dictator.jpg</v>
      </c>
      <c r="AO80" s="25" t="s">
        <v>442</v>
      </c>
      <c r="AP80" s="26" t="s">
        <v>441</v>
      </c>
      <c r="AT80" t="s">
        <v>23</v>
      </c>
      <c r="AU80" t="s">
        <v>23</v>
      </c>
      <c r="AW80" t="s">
        <v>31</v>
      </c>
    </row>
    <row r="81" spans="1:52" x14ac:dyDescent="0.25">
      <c r="A81" t="s">
        <v>445</v>
      </c>
      <c r="B81" t="s">
        <v>74</v>
      </c>
      <c r="C81">
        <v>810</v>
      </c>
      <c r="D81" s="15" t="s">
        <v>443</v>
      </c>
      <c r="E81" t="s">
        <v>444</v>
      </c>
      <c r="F81" t="s">
        <v>67</v>
      </c>
      <c r="G81" s="6"/>
      <c r="P81" s="2" t="s">
        <v>113</v>
      </c>
      <c r="Q81" s="7" t="s">
        <v>449</v>
      </c>
      <c r="R81" s="3">
        <v>20</v>
      </c>
      <c r="X81" s="21">
        <v>9781805330011</v>
      </c>
      <c r="Y81" s="4"/>
      <c r="Z81" s="4"/>
      <c r="AH81" t="str">
        <f t="shared" si="2"/>
        <v>covers/city-lions.jpg</v>
      </c>
      <c r="AO81" s="25" t="s">
        <v>446</v>
      </c>
      <c r="AP81" s="26" t="s">
        <v>447</v>
      </c>
      <c r="AT81" t="s">
        <v>23</v>
      </c>
      <c r="AU81" t="s">
        <v>23</v>
      </c>
      <c r="AW81" t="s">
        <v>31</v>
      </c>
    </row>
    <row r="82" spans="1:52" ht="16.149999999999999" customHeight="1" x14ac:dyDescent="0.25">
      <c r="A82" t="s">
        <v>450</v>
      </c>
      <c r="B82" t="s">
        <v>74</v>
      </c>
      <c r="C82">
        <v>820</v>
      </c>
      <c r="D82" s="15" t="s">
        <v>451</v>
      </c>
      <c r="E82" t="s">
        <v>452</v>
      </c>
      <c r="F82" t="s">
        <v>67</v>
      </c>
      <c r="G82" s="6"/>
      <c r="P82" s="2" t="s">
        <v>113</v>
      </c>
      <c r="Q82" s="7" t="s">
        <v>453</v>
      </c>
      <c r="R82" s="3">
        <v>16</v>
      </c>
      <c r="X82" s="21">
        <v>9781948830508</v>
      </c>
      <c r="Y82" s="4"/>
      <c r="Z82" s="4"/>
      <c r="AH82" t="str">
        <f t="shared" si="2"/>
        <v>covers/roosters-dogs.jpg</v>
      </c>
      <c r="AO82" s="25" t="s">
        <v>454</v>
      </c>
      <c r="AP82" s="26" t="s">
        <v>455</v>
      </c>
      <c r="AT82" t="s">
        <v>23</v>
      </c>
      <c r="AU82" t="s">
        <v>23</v>
      </c>
      <c r="AW82" t="s">
        <v>31</v>
      </c>
    </row>
    <row r="83" spans="1:52" x14ac:dyDescent="0.25">
      <c r="A83" t="s">
        <v>456</v>
      </c>
      <c r="B83" t="s">
        <v>78</v>
      </c>
      <c r="C83">
        <v>930</v>
      </c>
      <c r="D83" s="15" t="s">
        <v>459</v>
      </c>
      <c r="E83" t="s">
        <v>460</v>
      </c>
      <c r="F83" t="s">
        <v>67</v>
      </c>
      <c r="G83" s="6"/>
      <c r="P83" s="2" t="s">
        <v>113</v>
      </c>
      <c r="Q83" s="7" t="s">
        <v>461</v>
      </c>
      <c r="R83" s="3">
        <v>16</v>
      </c>
      <c r="X83" s="21">
        <v>9780857057143</v>
      </c>
      <c r="Y83" s="4"/>
      <c r="Z83" s="4"/>
      <c r="AH83" t="str">
        <f t="shared" si="2"/>
        <v>covers/stained-glass.jpg</v>
      </c>
      <c r="AO83" s="25" t="s">
        <v>457</v>
      </c>
      <c r="AP83" s="26" t="s">
        <v>458</v>
      </c>
      <c r="AT83" t="s">
        <v>23</v>
      </c>
      <c r="AU83" t="s">
        <v>23</v>
      </c>
      <c r="AW83" t="s">
        <v>31</v>
      </c>
    </row>
    <row r="84" spans="1:52" x14ac:dyDescent="0.25">
      <c r="A84" t="s">
        <v>463</v>
      </c>
      <c r="B84" t="s">
        <v>74</v>
      </c>
      <c r="D84" s="20" t="s">
        <v>462</v>
      </c>
      <c r="E84" t="s">
        <v>464</v>
      </c>
      <c r="F84" t="s">
        <v>67</v>
      </c>
      <c r="G84" s="6"/>
      <c r="P84" s="2" t="s">
        <v>113</v>
      </c>
      <c r="Q84" s="7" t="s">
        <v>465</v>
      </c>
      <c r="R84" s="3">
        <v>50</v>
      </c>
      <c r="X84" s="21">
        <v>9781781680810</v>
      </c>
      <c r="Y84" s="4" t="s">
        <v>114</v>
      </c>
      <c r="Z84" s="4" t="s">
        <v>465</v>
      </c>
      <c r="AA84" s="5">
        <v>20</v>
      </c>
      <c r="AG84" s="8">
        <v>9781781684061</v>
      </c>
      <c r="AH84" t="str">
        <f t="shared" si="2"/>
        <v>covers/ryszard-k-a-life.jpg</v>
      </c>
      <c r="AO84" s="25" t="s">
        <v>466</v>
      </c>
      <c r="AP84" s="26" t="s">
        <v>467</v>
      </c>
      <c r="AT84" t="s">
        <v>23</v>
      </c>
      <c r="AU84" t="s">
        <v>23</v>
      </c>
      <c r="AW84" t="s">
        <v>31</v>
      </c>
    </row>
    <row r="85" spans="1:52" x14ac:dyDescent="0.25">
      <c r="A85" t="s">
        <v>468</v>
      </c>
      <c r="B85" t="s">
        <v>78</v>
      </c>
      <c r="C85">
        <v>970</v>
      </c>
      <c r="D85" s="15" t="s">
        <v>469</v>
      </c>
      <c r="E85" t="s">
        <v>201</v>
      </c>
      <c r="F85" t="s">
        <v>67</v>
      </c>
      <c r="G85" s="6"/>
      <c r="P85" s="2" t="s">
        <v>113</v>
      </c>
      <c r="Q85" s="7" t="s">
        <v>472</v>
      </c>
      <c r="R85" s="3">
        <v>17</v>
      </c>
      <c r="X85" s="21">
        <v>9780192855565</v>
      </c>
      <c r="Y85" s="4" t="s">
        <v>114</v>
      </c>
      <c r="Z85" s="4" t="str">
        <f>Q85</f>
        <v>Oxford University Press</v>
      </c>
      <c r="AA85" s="5">
        <v>11</v>
      </c>
      <c r="AG85" s="8">
        <v>9780192668080</v>
      </c>
      <c r="AH85" t="str">
        <f t="shared" si="2"/>
        <v>covers/warsaw-tales.jpg</v>
      </c>
      <c r="AO85" s="25" t="s">
        <v>470</v>
      </c>
      <c r="AP85" s="26" t="s">
        <v>471</v>
      </c>
      <c r="AT85" t="s">
        <v>23</v>
      </c>
      <c r="AU85" t="s">
        <v>23</v>
      </c>
      <c r="AW85" t="s">
        <v>31</v>
      </c>
    </row>
    <row r="86" spans="1:52" x14ac:dyDescent="0.25">
      <c r="A86" t="s">
        <v>478</v>
      </c>
      <c r="B86" t="s">
        <v>302</v>
      </c>
      <c r="C86">
        <v>920</v>
      </c>
      <c r="D86" s="15" t="s">
        <v>479</v>
      </c>
      <c r="E86" t="s">
        <v>480</v>
      </c>
      <c r="F86" t="s">
        <v>67</v>
      </c>
      <c r="G86" s="6"/>
      <c r="P86" s="2" t="s">
        <v>113</v>
      </c>
      <c r="Q86" s="7" t="s">
        <v>481</v>
      </c>
      <c r="R86" s="3">
        <v>16</v>
      </c>
      <c r="X86" s="21">
        <v>9780358161462</v>
      </c>
      <c r="Y86" s="4"/>
      <c r="Z86" s="4"/>
      <c r="AH86" t="str">
        <f t="shared" si="2"/>
        <v>covers/mohr-missing.jpg</v>
      </c>
      <c r="AO86" s="25" t="s">
        <v>482</v>
      </c>
      <c r="AP86" s="26" t="s">
        <v>483</v>
      </c>
      <c r="AT86" t="s">
        <v>23</v>
      </c>
      <c r="AU86" t="s">
        <v>23</v>
      </c>
      <c r="AW86" t="s">
        <v>31</v>
      </c>
      <c r="AY86" t="s">
        <v>630</v>
      </c>
      <c r="AZ86">
        <v>1</v>
      </c>
    </row>
    <row r="87" spans="1:52" x14ac:dyDescent="0.25">
      <c r="A87" t="s">
        <v>485</v>
      </c>
      <c r="B87" t="s">
        <v>74</v>
      </c>
      <c r="C87">
        <v>943</v>
      </c>
      <c r="D87" s="15" t="s">
        <v>484</v>
      </c>
      <c r="E87" t="s">
        <v>486</v>
      </c>
      <c r="F87" t="s">
        <v>67</v>
      </c>
      <c r="G87" s="6"/>
      <c r="P87" s="2" t="s">
        <v>113</v>
      </c>
      <c r="Q87" s="7" t="s">
        <v>448</v>
      </c>
      <c r="R87" s="3">
        <v>20</v>
      </c>
      <c r="X87" s="21">
        <v>9780143137184</v>
      </c>
      <c r="Y87" s="4"/>
      <c r="Z87" s="4"/>
      <c r="AH87" t="str">
        <f t="shared" si="2"/>
        <v>covers/cooking-kremlin.jpg</v>
      </c>
      <c r="AO87" s="25" t="s">
        <v>488</v>
      </c>
      <c r="AP87" s="26" t="s">
        <v>487</v>
      </c>
      <c r="AT87" t="s">
        <v>23</v>
      </c>
      <c r="AU87" t="s">
        <v>23</v>
      </c>
      <c r="AW87" t="s">
        <v>31</v>
      </c>
    </row>
    <row r="88" spans="1:52" x14ac:dyDescent="0.25">
      <c r="A88" t="s">
        <v>489</v>
      </c>
      <c r="B88" t="s">
        <v>216</v>
      </c>
      <c r="C88">
        <v>970</v>
      </c>
      <c r="D88" s="15" t="s">
        <v>490</v>
      </c>
      <c r="E88" t="s">
        <v>491</v>
      </c>
      <c r="F88" t="s">
        <v>493</v>
      </c>
      <c r="G88" s="6"/>
      <c r="P88" s="2" t="s">
        <v>113</v>
      </c>
      <c r="Q88" s="7" t="s">
        <v>494</v>
      </c>
      <c r="R88" s="3">
        <v>24</v>
      </c>
      <c r="X88" s="21">
        <v>9781565124424</v>
      </c>
      <c r="Y88" s="4"/>
      <c r="Z88" s="4"/>
      <c r="AH88" t="str">
        <f t="shared" si="2"/>
        <v>covers/matt-the-first.jpg</v>
      </c>
      <c r="AO88" s="25" t="s">
        <v>492</v>
      </c>
      <c r="AT88" t="s">
        <v>23</v>
      </c>
      <c r="AU88" t="s">
        <v>23</v>
      </c>
      <c r="AW88" t="s">
        <v>31</v>
      </c>
    </row>
    <row r="89" spans="1:52" x14ac:dyDescent="0.25">
      <c r="A89" t="s">
        <v>496</v>
      </c>
      <c r="B89" t="s">
        <v>216</v>
      </c>
      <c r="C89">
        <v>555</v>
      </c>
      <c r="D89" s="15" t="s">
        <v>495</v>
      </c>
      <c r="E89" t="s">
        <v>491</v>
      </c>
      <c r="F89" t="s">
        <v>67</v>
      </c>
      <c r="G89" s="6" t="s">
        <v>112</v>
      </c>
      <c r="H89" s="7" t="s">
        <v>499</v>
      </c>
      <c r="I89" s="7">
        <v>17.95</v>
      </c>
      <c r="O89" s="10">
        <v>9780983868507</v>
      </c>
      <c r="Y89" s="4"/>
      <c r="Z89" s="4"/>
      <c r="AH89" t="str">
        <f t="shared" si="2"/>
        <v>covers/kaytek-wizard.jpg</v>
      </c>
      <c r="AO89" s="25" t="s">
        <v>497</v>
      </c>
      <c r="AP89" s="26" t="s">
        <v>498</v>
      </c>
      <c r="AT89" t="s">
        <v>23</v>
      </c>
      <c r="AU89" t="s">
        <v>23</v>
      </c>
      <c r="AW89" t="s">
        <v>31</v>
      </c>
    </row>
    <row r="90" spans="1:52" x14ac:dyDescent="0.25">
      <c r="A90" t="s">
        <v>506</v>
      </c>
      <c r="B90" t="s">
        <v>74</v>
      </c>
      <c r="C90">
        <v>933</v>
      </c>
      <c r="D90" s="15" t="s">
        <v>500</v>
      </c>
      <c r="E90" t="s">
        <v>501</v>
      </c>
      <c r="F90" t="s">
        <v>505</v>
      </c>
      <c r="G90" s="6"/>
      <c r="P90" s="2" t="s">
        <v>113</v>
      </c>
      <c r="Q90" s="7" t="s">
        <v>502</v>
      </c>
      <c r="R90" s="3">
        <v>17.95</v>
      </c>
      <c r="X90" s="21">
        <v>9781590176658</v>
      </c>
      <c r="Y90" s="4"/>
      <c r="Z90" s="4"/>
      <c r="AH90" t="str">
        <f t="shared" si="2"/>
        <v>covers/miron-memoir.jpg</v>
      </c>
      <c r="AO90" s="25" t="s">
        <v>504</v>
      </c>
      <c r="AP90" s="26" t="s">
        <v>503</v>
      </c>
      <c r="AT90" t="s">
        <v>23</v>
      </c>
      <c r="AU90" t="s">
        <v>23</v>
      </c>
      <c r="AW90" t="s">
        <v>31</v>
      </c>
    </row>
    <row r="91" spans="1:52" x14ac:dyDescent="0.25">
      <c r="A91" t="s">
        <v>508</v>
      </c>
      <c r="B91" t="s">
        <v>74</v>
      </c>
      <c r="C91">
        <v>1020</v>
      </c>
      <c r="D91" s="15" t="s">
        <v>507</v>
      </c>
      <c r="E91" t="s">
        <v>509</v>
      </c>
      <c r="F91" t="s">
        <v>67</v>
      </c>
      <c r="G91" s="6"/>
      <c r="P91" s="2" t="s">
        <v>113</v>
      </c>
      <c r="Q91" s="7" t="s">
        <v>502</v>
      </c>
      <c r="X91" s="21">
        <v>9781681372563</v>
      </c>
      <c r="Y91" s="4"/>
      <c r="Z91" s="4"/>
      <c r="AH91" t="str">
        <f t="shared" si="2"/>
        <v>covers/inhuman-land.jpg</v>
      </c>
      <c r="AO91" s="25" t="s">
        <v>511</v>
      </c>
      <c r="AP91" s="26" t="s">
        <v>510</v>
      </c>
      <c r="AT91" t="s">
        <v>23</v>
      </c>
      <c r="AU91" t="s">
        <v>23</v>
      </c>
      <c r="AW91" t="s">
        <v>31</v>
      </c>
    </row>
    <row r="92" spans="1:52" x14ac:dyDescent="0.25">
      <c r="A92" t="s">
        <v>473</v>
      </c>
      <c r="B92" t="s">
        <v>74</v>
      </c>
      <c r="C92">
        <v>955</v>
      </c>
      <c r="D92" s="15" t="s">
        <v>623</v>
      </c>
      <c r="E92" t="s">
        <v>474</v>
      </c>
      <c r="F92" t="s">
        <v>67</v>
      </c>
      <c r="G92" s="6" t="s">
        <v>112</v>
      </c>
      <c r="H92" s="7" t="s">
        <v>475</v>
      </c>
      <c r="I92" s="7">
        <v>28</v>
      </c>
      <c r="O92" s="10">
        <v>9781632062833</v>
      </c>
      <c r="P92" s="2"/>
      <c r="Q92" s="7"/>
      <c r="Y92" s="4"/>
      <c r="Z92" s="4"/>
      <c r="AH92" t="str">
        <f t="shared" si="2"/>
        <v>covers/mud-sweeter.jpg</v>
      </c>
      <c r="AO92" s="28" t="s">
        <v>477</v>
      </c>
      <c r="AP92" s="26" t="s">
        <v>476</v>
      </c>
      <c r="AT92" t="s">
        <v>23</v>
      </c>
      <c r="AU92" t="s">
        <v>23</v>
      </c>
      <c r="AW92" t="s">
        <v>31</v>
      </c>
    </row>
    <row r="93" spans="1:52" x14ac:dyDescent="0.25">
      <c r="A93" t="s">
        <v>513</v>
      </c>
      <c r="B93" t="s">
        <v>78</v>
      </c>
      <c r="C93">
        <v>467</v>
      </c>
      <c r="D93" s="15" t="s">
        <v>512</v>
      </c>
      <c r="E93" t="s">
        <v>355</v>
      </c>
      <c r="F93" t="s">
        <v>67</v>
      </c>
      <c r="G93" s="6" t="s">
        <v>112</v>
      </c>
      <c r="H93" s="7" t="s">
        <v>411</v>
      </c>
      <c r="I93" s="7">
        <v>28</v>
      </c>
      <c r="O93" s="10">
        <v>9780593716380</v>
      </c>
      <c r="P93" s="2"/>
      <c r="Q93" s="7"/>
      <c r="Y93" s="4"/>
      <c r="Z93" s="4"/>
      <c r="AH93" t="str">
        <f t="shared" si="2"/>
        <v>covers/house-of-day.jpg</v>
      </c>
      <c r="AO93" s="25" t="s">
        <v>515</v>
      </c>
      <c r="AP93" s="26" t="s">
        <v>514</v>
      </c>
      <c r="AT93" t="s">
        <v>23</v>
      </c>
      <c r="AU93" t="s">
        <v>23</v>
      </c>
      <c r="AW93" t="s">
        <v>31</v>
      </c>
    </row>
    <row r="94" spans="1:52" x14ac:dyDescent="0.25">
      <c r="A94" t="s">
        <v>516</v>
      </c>
      <c r="B94" t="str">
        <f>B92</f>
        <v>Non-fiction</v>
      </c>
      <c r="C94">
        <v>493</v>
      </c>
      <c r="D94" s="15" t="s">
        <v>517</v>
      </c>
      <c r="E94" t="s">
        <v>518</v>
      </c>
      <c r="F94" t="s">
        <v>67</v>
      </c>
      <c r="G94" s="6"/>
      <c r="P94" s="2" t="s">
        <v>113</v>
      </c>
      <c r="Q94" s="7" t="s">
        <v>521</v>
      </c>
      <c r="R94" s="3">
        <v>27.95</v>
      </c>
      <c r="X94" s="21">
        <v>9781953943705</v>
      </c>
      <c r="Y94" s="4"/>
      <c r="Z94" s="4"/>
      <c r="AH94" t="str">
        <f t="shared" si="2"/>
        <v>covers/garden-memory.jpg</v>
      </c>
      <c r="AO94" s="25" t="s">
        <v>519</v>
      </c>
      <c r="AP94" s="26" t="s">
        <v>520</v>
      </c>
      <c r="AT94" t="s">
        <v>23</v>
      </c>
      <c r="AU94" t="s">
        <v>23</v>
      </c>
      <c r="AW94" t="s">
        <v>31</v>
      </c>
    </row>
    <row r="95" spans="1:52" x14ac:dyDescent="0.25">
      <c r="A95" t="s">
        <v>523</v>
      </c>
      <c r="B95" t="s">
        <v>78</v>
      </c>
      <c r="C95">
        <v>666</v>
      </c>
      <c r="D95" s="15" t="s">
        <v>522</v>
      </c>
      <c r="E95" t="s">
        <v>524</v>
      </c>
      <c r="F95" t="s">
        <v>525</v>
      </c>
      <c r="G95" s="6"/>
      <c r="P95" s="2" t="s">
        <v>113</v>
      </c>
      <c r="Q95" s="7" t="s">
        <v>526</v>
      </c>
      <c r="R95" s="3">
        <v>16</v>
      </c>
      <c r="X95" s="21">
        <v>9781939931115</v>
      </c>
      <c r="Y95" s="4"/>
      <c r="Z95" s="4"/>
      <c r="AH95" t="str">
        <f t="shared" si="2"/>
        <v>covers/killing-dog.jpg</v>
      </c>
      <c r="AI95">
        <v>2014</v>
      </c>
      <c r="AO95" s="25" t="s">
        <v>527</v>
      </c>
      <c r="AP95" s="26" t="s">
        <v>528</v>
      </c>
      <c r="AT95" t="s">
        <v>23</v>
      </c>
      <c r="AU95" t="s">
        <v>23</v>
      </c>
      <c r="AW95" t="s">
        <v>31</v>
      </c>
    </row>
    <row r="96" spans="1:52" x14ac:dyDescent="0.25">
      <c r="A96" t="s">
        <v>529</v>
      </c>
      <c r="B96" t="s">
        <v>78</v>
      </c>
      <c r="C96">
        <v>780</v>
      </c>
      <c r="D96" s="15" t="s">
        <v>530</v>
      </c>
      <c r="E96" t="s">
        <v>524</v>
      </c>
      <c r="F96" t="s">
        <v>525</v>
      </c>
      <c r="G96" s="6"/>
      <c r="P96" s="2" t="s">
        <v>113</v>
      </c>
      <c r="Q96" s="7" t="s">
        <v>526</v>
      </c>
      <c r="R96" s="3">
        <v>16</v>
      </c>
      <c r="X96" s="21">
        <v>9781939931122</v>
      </c>
      <c r="Y96" s="4" t="s">
        <v>114</v>
      </c>
      <c r="Z96" s="4" t="str">
        <f>Q96</f>
        <v>New Vessel Press</v>
      </c>
      <c r="AA96" s="5">
        <v>9.06</v>
      </c>
      <c r="AG96" s="8">
        <v>9781939931184</v>
      </c>
      <c r="AH96" t="str">
        <f t="shared" si="2"/>
        <v>covers/all-backs.jpg</v>
      </c>
      <c r="AI96">
        <v>2014</v>
      </c>
      <c r="AO96" s="25" t="s">
        <v>532</v>
      </c>
      <c r="AP96" s="26" t="s">
        <v>531</v>
      </c>
      <c r="AT96" t="s">
        <v>23</v>
      </c>
      <c r="AU96" t="s">
        <v>23</v>
      </c>
      <c r="AW96" t="s">
        <v>31</v>
      </c>
    </row>
    <row r="97" spans="1:52" x14ac:dyDescent="0.25">
      <c r="A97" t="s">
        <v>538</v>
      </c>
      <c r="B97" t="s">
        <v>78</v>
      </c>
      <c r="C97">
        <v>810</v>
      </c>
      <c r="D97" s="15" t="s">
        <v>533</v>
      </c>
      <c r="E97" t="s">
        <v>524</v>
      </c>
      <c r="F97" t="s">
        <v>534</v>
      </c>
      <c r="G97" s="6"/>
      <c r="P97" s="2" t="s">
        <v>113</v>
      </c>
      <c r="Q97" s="7" t="s">
        <v>535</v>
      </c>
      <c r="R97" s="3">
        <v>35</v>
      </c>
      <c r="X97" s="23">
        <v>9780875806976</v>
      </c>
      <c r="Y97" s="4" t="s">
        <v>114</v>
      </c>
      <c r="Z97" s="4" t="str">
        <f t="shared" ref="Z97:Z98" si="3">Q97</f>
        <v>Northern Illinois University Press</v>
      </c>
      <c r="AA97" s="5">
        <v>17</v>
      </c>
      <c r="AG97" s="8">
        <v>9781609090951</v>
      </c>
      <c r="AH97" t="str">
        <f t="shared" si="2"/>
        <v>covers/beautiful-twentysomethings.jpg</v>
      </c>
      <c r="AO97" s="25" t="s">
        <v>537</v>
      </c>
      <c r="AP97" s="26" t="s">
        <v>536</v>
      </c>
      <c r="AT97" t="s">
        <v>23</v>
      </c>
      <c r="AU97" t="s">
        <v>23</v>
      </c>
      <c r="AW97" t="s">
        <v>31</v>
      </c>
    </row>
    <row r="98" spans="1:52" x14ac:dyDescent="0.25">
      <c r="A98" t="s">
        <v>539</v>
      </c>
      <c r="B98" t="s">
        <v>78</v>
      </c>
      <c r="C98">
        <v>880</v>
      </c>
      <c r="D98" s="15" t="s">
        <v>540</v>
      </c>
      <c r="E98" t="s">
        <v>541</v>
      </c>
      <c r="F98" t="s">
        <v>67</v>
      </c>
      <c r="G98" s="6"/>
      <c r="P98" s="2" t="s">
        <v>113</v>
      </c>
      <c r="Q98" s="7" t="s">
        <v>542</v>
      </c>
      <c r="R98" s="3">
        <v>24</v>
      </c>
      <c r="Y98" s="4" t="s">
        <v>114</v>
      </c>
      <c r="Z98" s="4" t="str">
        <f t="shared" si="3"/>
        <v>Seven Stories Press</v>
      </c>
      <c r="AA98" s="5">
        <v>17</v>
      </c>
      <c r="AG98" s="8">
        <v>9781644210178</v>
      </c>
      <c r="AH98" t="str">
        <f t="shared" si="2"/>
        <v>covers/laras-wars.jpg</v>
      </c>
      <c r="AO98" s="25" t="s">
        <v>544</v>
      </c>
      <c r="AP98" s="26" t="s">
        <v>543</v>
      </c>
      <c r="AT98" t="s">
        <v>23</v>
      </c>
      <c r="AU98" t="s">
        <v>23</v>
      </c>
      <c r="AW98" t="s">
        <v>31</v>
      </c>
    </row>
    <row r="99" spans="1:52" x14ac:dyDescent="0.25">
      <c r="A99" t="s">
        <v>549</v>
      </c>
      <c r="B99" t="s">
        <v>78</v>
      </c>
      <c r="C99">
        <v>1230</v>
      </c>
      <c r="D99" s="15" t="s">
        <v>545</v>
      </c>
      <c r="E99" t="s">
        <v>546</v>
      </c>
      <c r="F99" t="s">
        <v>67</v>
      </c>
      <c r="G99" s="6"/>
      <c r="P99" s="2" t="s">
        <v>113</v>
      </c>
      <c r="Q99" s="7" t="s">
        <v>542</v>
      </c>
      <c r="R99" s="3">
        <v>18</v>
      </c>
      <c r="X99" s="21">
        <v>9781644213759</v>
      </c>
      <c r="Y99" s="4" t="s">
        <v>114</v>
      </c>
      <c r="Z99" s="4" t="str">
        <f t="shared" ref="Z99:Z100" si="4">Q99</f>
        <v>Seven Stories Press</v>
      </c>
      <c r="AA99" s="5">
        <v>12</v>
      </c>
      <c r="AG99" s="8">
        <v>9781644213766</v>
      </c>
      <c r="AH99" t="str">
        <f t="shared" ref="AH99:AH115" si="5">"covers/" &amp; A99 &amp; ".jpg"</f>
        <v>covers/little-beauty.jpg</v>
      </c>
      <c r="AO99" s="25" t="s">
        <v>548</v>
      </c>
      <c r="AP99" s="26" t="s">
        <v>547</v>
      </c>
      <c r="AT99" t="s">
        <v>23</v>
      </c>
      <c r="AU99" t="s">
        <v>23</v>
      </c>
      <c r="AW99" t="s">
        <v>31</v>
      </c>
    </row>
    <row r="100" spans="1:52" x14ac:dyDescent="0.25">
      <c r="A100" t="s">
        <v>554</v>
      </c>
      <c r="B100" t="s">
        <v>74</v>
      </c>
      <c r="C100">
        <v>1230</v>
      </c>
      <c r="D100" s="15" t="s">
        <v>550</v>
      </c>
      <c r="E100" t="s">
        <v>509</v>
      </c>
      <c r="F100" t="s">
        <v>551</v>
      </c>
      <c r="G100" s="6"/>
      <c r="P100" s="2" t="s">
        <v>113</v>
      </c>
      <c r="Q100" s="7" t="s">
        <v>502</v>
      </c>
      <c r="R100" s="3">
        <v>17</v>
      </c>
      <c r="X100" s="21">
        <v>9781681372587</v>
      </c>
      <c r="Y100" s="4" t="s">
        <v>114</v>
      </c>
      <c r="Z100" s="4" t="str">
        <f t="shared" si="4"/>
        <v>NYRB Classics</v>
      </c>
      <c r="AA100" s="5">
        <v>10</v>
      </c>
      <c r="AG100" s="8">
        <v>9781681372594</v>
      </c>
      <c r="AH100" t="str">
        <f t="shared" si="5"/>
        <v>covers/lectures-proust.jpg</v>
      </c>
      <c r="AO100" s="25" t="s">
        <v>552</v>
      </c>
      <c r="AP100" s="26" t="s">
        <v>553</v>
      </c>
      <c r="AT100" t="s">
        <v>23</v>
      </c>
      <c r="AU100" t="s">
        <v>23</v>
      </c>
      <c r="AW100" t="s">
        <v>31</v>
      </c>
    </row>
    <row r="101" spans="1:52" x14ac:dyDescent="0.25">
      <c r="A101" t="s">
        <v>557</v>
      </c>
      <c r="B101" t="s">
        <v>74</v>
      </c>
      <c r="C101">
        <v>1245</v>
      </c>
      <c r="D101" s="15" t="s">
        <v>555</v>
      </c>
      <c r="E101" t="s">
        <v>509</v>
      </c>
      <c r="F101" t="s">
        <v>556</v>
      </c>
      <c r="G101" s="6"/>
      <c r="P101" s="2" t="s">
        <v>113</v>
      </c>
      <c r="Q101" s="7" t="s">
        <v>502</v>
      </c>
      <c r="R101" s="3">
        <v>18</v>
      </c>
      <c r="X101" s="21">
        <v>9781681374864</v>
      </c>
      <c r="Y101" s="4" t="s">
        <v>114</v>
      </c>
      <c r="Z101" s="4" t="str">
        <f t="shared" ref="Z101" si="6">Q101</f>
        <v>NYRB Classics</v>
      </c>
      <c r="AA101" s="5">
        <v>11</v>
      </c>
      <c r="AG101" s="8">
        <v>9781681374871</v>
      </c>
      <c r="AH101" t="str">
        <f t="shared" si="5"/>
        <v>covers/Starobielsk-essays.jpg</v>
      </c>
      <c r="AO101" s="25" t="s">
        <v>559</v>
      </c>
      <c r="AP101" s="26" t="s">
        <v>558</v>
      </c>
      <c r="AT101" t="s">
        <v>23</v>
      </c>
      <c r="AU101" t="s">
        <v>23</v>
      </c>
      <c r="AW101" t="s">
        <v>31</v>
      </c>
    </row>
    <row r="102" spans="1:52" x14ac:dyDescent="0.25">
      <c r="A102" t="s">
        <v>563</v>
      </c>
      <c r="B102" t="s">
        <v>87</v>
      </c>
      <c r="C102">
        <v>1300</v>
      </c>
      <c r="D102" s="15" t="s">
        <v>562</v>
      </c>
      <c r="E102" t="s">
        <v>564</v>
      </c>
      <c r="F102" t="s">
        <v>556</v>
      </c>
      <c r="G102" s="6" t="s">
        <v>112</v>
      </c>
      <c r="H102" s="7" t="s">
        <v>565</v>
      </c>
      <c r="I102" s="7">
        <v>30</v>
      </c>
      <c r="O102" s="10">
        <v>9780374178796</v>
      </c>
      <c r="P102" s="2" t="s">
        <v>113</v>
      </c>
      <c r="Q102" s="7" t="str">
        <f>H102</f>
        <v>Farrar, Strauss and Giroux</v>
      </c>
      <c r="R102" s="3">
        <v>37</v>
      </c>
      <c r="X102" s="21">
        <v>9780374536374</v>
      </c>
      <c r="Y102" s="4" t="s">
        <v>114</v>
      </c>
      <c r="Z102" s="4" t="str">
        <f>Q102</f>
        <v>Farrar, Strauss and Giroux</v>
      </c>
      <c r="AA102" s="5">
        <v>15</v>
      </c>
      <c r="AG102" s="8">
        <v>9780374710323</v>
      </c>
      <c r="AH102" t="str">
        <f t="shared" si="5"/>
        <v>covers/jedwabne-crime.jpg</v>
      </c>
      <c r="AO102" s="25" t="s">
        <v>560</v>
      </c>
      <c r="AP102" s="26" t="s">
        <v>561</v>
      </c>
      <c r="AT102" t="s">
        <v>23</v>
      </c>
      <c r="AU102" t="s">
        <v>23</v>
      </c>
      <c r="AW102" t="s">
        <v>31</v>
      </c>
    </row>
    <row r="103" spans="1:52" x14ac:dyDescent="0.25">
      <c r="A103" t="s">
        <v>571</v>
      </c>
      <c r="B103" t="s">
        <v>127</v>
      </c>
      <c r="C103">
        <v>1300</v>
      </c>
      <c r="D103" s="15" t="s">
        <v>566</v>
      </c>
      <c r="E103" t="s">
        <v>567</v>
      </c>
      <c r="F103" t="s">
        <v>556</v>
      </c>
      <c r="G103" s="6"/>
      <c r="P103" s="2" t="s">
        <v>113</v>
      </c>
      <c r="Q103" s="7" t="s">
        <v>568</v>
      </c>
      <c r="R103" s="3">
        <v>15</v>
      </c>
      <c r="X103" s="21">
        <v>9781681377308</v>
      </c>
      <c r="Y103" s="4" t="s">
        <v>114</v>
      </c>
      <c r="Z103" s="4" t="str">
        <f>Q103</f>
        <v>NYRB Poets</v>
      </c>
      <c r="AA103" s="5">
        <v>10</v>
      </c>
      <c r="AG103" s="8">
        <v>9781681377315</v>
      </c>
      <c r="AH103" t="str">
        <f t="shared" si="5"/>
        <v>covers/ginczanka-firebird.jpg</v>
      </c>
      <c r="AO103" s="25" t="s">
        <v>570</v>
      </c>
      <c r="AP103" s="26" t="s">
        <v>569</v>
      </c>
      <c r="AT103" t="s">
        <v>23</v>
      </c>
      <c r="AU103" t="s">
        <v>23</v>
      </c>
      <c r="AW103" t="s">
        <v>31</v>
      </c>
    </row>
    <row r="104" spans="1:52" x14ac:dyDescent="0.25">
      <c r="A104" t="s">
        <v>574</v>
      </c>
      <c r="B104" t="s">
        <v>127</v>
      </c>
      <c r="C104">
        <v>1350</v>
      </c>
      <c r="D104" s="15" t="s">
        <v>572</v>
      </c>
      <c r="E104" t="s">
        <v>573</v>
      </c>
      <c r="F104" t="s">
        <v>556</v>
      </c>
      <c r="G104" s="6"/>
      <c r="P104" s="2" t="s">
        <v>113</v>
      </c>
      <c r="Q104" s="7" t="s">
        <v>568</v>
      </c>
      <c r="R104" s="3">
        <v>15</v>
      </c>
      <c r="X104" s="24">
        <v>9781681371603</v>
      </c>
      <c r="Y104" s="4" t="s">
        <v>114</v>
      </c>
      <c r="Z104" s="4" t="str">
        <f>Q104</f>
        <v>NYRB Poets</v>
      </c>
      <c r="AA104" s="5">
        <v>11</v>
      </c>
      <c r="AG104" s="8">
        <v>9781681371610</v>
      </c>
      <c r="AH104" t="str">
        <f t="shared" si="5"/>
        <v>covers/life-grows.jpg</v>
      </c>
      <c r="AO104" s="25" t="s">
        <v>575</v>
      </c>
      <c r="AP104" s="26" t="s">
        <v>576</v>
      </c>
      <c r="AT104" t="s">
        <v>23</v>
      </c>
      <c r="AU104" t="s">
        <v>23</v>
      </c>
      <c r="AW104" t="s">
        <v>31</v>
      </c>
    </row>
    <row r="105" spans="1:52" x14ac:dyDescent="0.25">
      <c r="A105" t="s">
        <v>577</v>
      </c>
      <c r="B105" t="s">
        <v>78</v>
      </c>
      <c r="C105">
        <v>1340</v>
      </c>
      <c r="D105" s="15" t="s">
        <v>579</v>
      </c>
      <c r="E105" t="s">
        <v>580</v>
      </c>
      <c r="F105" t="s">
        <v>67</v>
      </c>
      <c r="G105" s="6"/>
      <c r="P105" s="2" t="s">
        <v>113</v>
      </c>
      <c r="Q105" s="7" t="s">
        <v>581</v>
      </c>
      <c r="R105" s="3">
        <v>17</v>
      </c>
      <c r="X105" s="21">
        <v>9781068740404</v>
      </c>
      <c r="Y105" s="4" t="s">
        <v>114</v>
      </c>
      <c r="Z105" s="1" t="s">
        <v>581</v>
      </c>
      <c r="AA105" s="5">
        <v>9.5</v>
      </c>
      <c r="AG105" s="8">
        <v>9781068740411</v>
      </c>
      <c r="AH105" t="str">
        <f t="shared" si="5"/>
        <v>covers/voracious.jpg</v>
      </c>
      <c r="AO105" s="25" t="s">
        <v>578</v>
      </c>
      <c r="AT105" t="s">
        <v>23</v>
      </c>
      <c r="AU105" t="s">
        <v>23</v>
      </c>
      <c r="AW105" t="s">
        <v>31</v>
      </c>
    </row>
    <row r="106" spans="1:52" x14ac:dyDescent="0.25">
      <c r="A106" t="s">
        <v>582</v>
      </c>
      <c r="B106" t="s">
        <v>78</v>
      </c>
      <c r="C106">
        <v>1370</v>
      </c>
      <c r="D106" s="15" t="s">
        <v>583</v>
      </c>
      <c r="E106" t="s">
        <v>584</v>
      </c>
      <c r="F106" t="s">
        <v>67</v>
      </c>
      <c r="G106" s="6"/>
      <c r="P106" s="2" t="s">
        <v>113</v>
      </c>
      <c r="Q106" s="7" t="s">
        <v>586</v>
      </c>
      <c r="R106" s="3">
        <v>18</v>
      </c>
      <c r="X106" s="21">
        <v>9781786074980</v>
      </c>
      <c r="Y106" s="4" t="s">
        <v>114</v>
      </c>
      <c r="Z106" s="1" t="str">
        <f>Q106</f>
        <v>Oneworld Publications</v>
      </c>
      <c r="AA106" s="5">
        <v>7</v>
      </c>
      <c r="AG106" s="8">
        <v>9781786073594</v>
      </c>
      <c r="AH106" t="str">
        <f t="shared" si="5"/>
        <v>covers/lala.jpg</v>
      </c>
      <c r="AO106" s="25" t="s">
        <v>587</v>
      </c>
      <c r="AP106" s="26" t="s">
        <v>585</v>
      </c>
      <c r="AT106" t="s">
        <v>23</v>
      </c>
      <c r="AU106" t="s">
        <v>23</v>
      </c>
      <c r="AW106" t="s">
        <v>31</v>
      </c>
    </row>
    <row r="107" spans="1:52" x14ac:dyDescent="0.25">
      <c r="A107" t="s">
        <v>588</v>
      </c>
      <c r="B107" t="s">
        <v>74</v>
      </c>
      <c r="C107">
        <v>1450</v>
      </c>
      <c r="D107" s="15" t="s">
        <v>589</v>
      </c>
      <c r="E107" t="s">
        <v>486</v>
      </c>
      <c r="F107" t="s">
        <v>67</v>
      </c>
      <c r="G107" s="6"/>
      <c r="P107" s="2" t="s">
        <v>113</v>
      </c>
      <c r="Q107" s="7" t="s">
        <v>590</v>
      </c>
      <c r="R107" s="3">
        <v>24</v>
      </c>
      <c r="X107" s="21">
        <v>9780143129745</v>
      </c>
      <c r="Y107" s="4" t="s">
        <v>114</v>
      </c>
      <c r="Z107" s="4" t="str">
        <f>Q107</f>
        <v>Penguin Publishing Group</v>
      </c>
      <c r="AA107" s="5">
        <v>6</v>
      </c>
      <c r="AG107" s="8">
        <v>9781101993385</v>
      </c>
      <c r="AH107" t="str">
        <f t="shared" si="5"/>
        <v>covers/dancing-bears.jpg</v>
      </c>
      <c r="AO107" s="25" t="s">
        <v>592</v>
      </c>
      <c r="AP107" s="26" t="s">
        <v>591</v>
      </c>
      <c r="AT107" t="s">
        <v>23</v>
      </c>
      <c r="AU107" t="s">
        <v>23</v>
      </c>
      <c r="AW107" t="s">
        <v>31</v>
      </c>
    </row>
    <row r="108" spans="1:52" x14ac:dyDescent="0.25">
      <c r="A108" t="s">
        <v>595</v>
      </c>
      <c r="B108" t="s">
        <v>302</v>
      </c>
      <c r="C108">
        <v>1350</v>
      </c>
      <c r="D108" s="15" t="s">
        <v>593</v>
      </c>
      <c r="E108" t="s">
        <v>594</v>
      </c>
      <c r="F108" t="s">
        <v>67</v>
      </c>
      <c r="G108" s="6"/>
      <c r="P108" s="2" t="s">
        <v>113</v>
      </c>
      <c r="Q108" s="7" t="s">
        <v>596</v>
      </c>
      <c r="R108" s="3">
        <v>15</v>
      </c>
      <c r="X108" s="21">
        <v>9781503935860</v>
      </c>
      <c r="Y108" s="4" t="s">
        <v>114</v>
      </c>
      <c r="Z108" s="4" t="str">
        <f>Q108</f>
        <v>Amazon Crossing</v>
      </c>
      <c r="AA108" s="5">
        <v>4</v>
      </c>
      <c r="AG108" s="8">
        <v>9781503990869</v>
      </c>
      <c r="AH108" t="str">
        <f t="shared" si="5"/>
        <v>covers/rage.jpg</v>
      </c>
      <c r="AO108" s="25" t="s">
        <v>597</v>
      </c>
      <c r="AP108" s="26" t="s">
        <v>598</v>
      </c>
      <c r="AT108" t="s">
        <v>23</v>
      </c>
      <c r="AU108" t="s">
        <v>23</v>
      </c>
      <c r="AW108" t="s">
        <v>31</v>
      </c>
    </row>
    <row r="109" spans="1:52" x14ac:dyDescent="0.25">
      <c r="A109" t="s">
        <v>599</v>
      </c>
      <c r="B109" t="s">
        <v>302</v>
      </c>
      <c r="C109">
        <v>1370</v>
      </c>
      <c r="D109" s="15" t="s">
        <v>600</v>
      </c>
      <c r="E109" t="s">
        <v>594</v>
      </c>
      <c r="F109" t="s">
        <v>67</v>
      </c>
      <c r="G109" s="6"/>
      <c r="P109" s="2" t="s">
        <v>113</v>
      </c>
      <c r="Q109" s="7" t="s">
        <v>601</v>
      </c>
      <c r="X109" s="21">
        <v>9781908524027</v>
      </c>
      <c r="Y109" s="4"/>
      <c r="Z109" s="4"/>
      <c r="AH109" t="str">
        <f t="shared" si="5"/>
        <v>covers/grain-truth.jpg</v>
      </c>
      <c r="AO109" s="25" t="s">
        <v>603</v>
      </c>
      <c r="AP109" s="26" t="s">
        <v>604</v>
      </c>
      <c r="AT109" t="s">
        <v>23</v>
      </c>
      <c r="AU109" t="s">
        <v>23</v>
      </c>
      <c r="AW109" t="s">
        <v>31</v>
      </c>
      <c r="AY109" t="s">
        <v>602</v>
      </c>
      <c r="AZ109">
        <v>1</v>
      </c>
    </row>
    <row r="110" spans="1:52" x14ac:dyDescent="0.25">
      <c r="A110" t="s">
        <v>606</v>
      </c>
      <c r="B110" t="s">
        <v>78</v>
      </c>
      <c r="C110">
        <v>1250</v>
      </c>
      <c r="D110" s="15" t="s">
        <v>605</v>
      </c>
      <c r="E110" t="s">
        <v>355</v>
      </c>
      <c r="F110" t="s">
        <v>67</v>
      </c>
      <c r="G110" s="6" t="s">
        <v>112</v>
      </c>
      <c r="H110" s="7" t="s">
        <v>411</v>
      </c>
      <c r="I110" s="7">
        <v>29</v>
      </c>
      <c r="O110" s="10">
        <v>9780525541332</v>
      </c>
      <c r="P110" s="2" t="s">
        <v>113</v>
      </c>
      <c r="Q110" s="7" t="str">
        <f>H110</f>
        <v>Riverhead Books</v>
      </c>
      <c r="R110" s="3">
        <v>19</v>
      </c>
      <c r="X110" s="21">
        <v>9780525541349</v>
      </c>
      <c r="Y110" s="4" t="s">
        <v>114</v>
      </c>
      <c r="Z110" s="4" t="s">
        <v>607</v>
      </c>
      <c r="AA110" s="5">
        <v>9</v>
      </c>
      <c r="AG110" s="8">
        <v>9781910695562</v>
      </c>
      <c r="AH110" t="str">
        <f t="shared" si="5"/>
        <v>covers/over-the-bones.jpg</v>
      </c>
      <c r="AO110" s="25" t="s">
        <v>608</v>
      </c>
      <c r="AT110" t="s">
        <v>23</v>
      </c>
      <c r="AU110" t="s">
        <v>23</v>
      </c>
      <c r="AW110" t="s">
        <v>31</v>
      </c>
      <c r="AY110" t="s">
        <v>602</v>
      </c>
      <c r="AZ110">
        <v>2</v>
      </c>
    </row>
    <row r="111" spans="1:52" x14ac:dyDescent="0.25">
      <c r="A111" t="s">
        <v>609</v>
      </c>
      <c r="B111" t="s">
        <v>78</v>
      </c>
      <c r="C111">
        <v>1235</v>
      </c>
      <c r="D111" s="15" t="s">
        <v>610</v>
      </c>
      <c r="E111" t="s">
        <v>355</v>
      </c>
      <c r="F111" t="s">
        <v>356</v>
      </c>
      <c r="G111" s="6" t="s">
        <v>112</v>
      </c>
      <c r="H111" s="7" t="s">
        <v>411</v>
      </c>
      <c r="I111" s="7">
        <v>35</v>
      </c>
      <c r="O111" s="10">
        <v>9780593087480</v>
      </c>
      <c r="P111" s="2" t="s">
        <v>113</v>
      </c>
      <c r="Q111" s="7" t="str">
        <f>H111</f>
        <v>Riverhead Books</v>
      </c>
      <c r="R111" s="3">
        <v>12.5</v>
      </c>
      <c r="X111" s="21">
        <v>9780593087503</v>
      </c>
      <c r="Y111" s="4" t="s">
        <v>114</v>
      </c>
      <c r="Z111" s="4" t="str">
        <f>H111</f>
        <v>Riverhead Books</v>
      </c>
      <c r="AA111" s="5">
        <v>8</v>
      </c>
      <c r="AG111" s="8">
        <v>9780593087497</v>
      </c>
      <c r="AH111" t="str">
        <f t="shared" si="5"/>
        <v>covers/jacobs-books.jpg</v>
      </c>
      <c r="AO111" s="25" t="s">
        <v>611</v>
      </c>
      <c r="AP111" s="26" t="s">
        <v>612</v>
      </c>
      <c r="AT111" t="s">
        <v>23</v>
      </c>
      <c r="AU111" t="s">
        <v>23</v>
      </c>
      <c r="AW111" t="s">
        <v>31</v>
      </c>
    </row>
    <row r="112" spans="1:52" x14ac:dyDescent="0.25">
      <c r="A112" t="s">
        <v>613</v>
      </c>
      <c r="B112" t="s">
        <v>78</v>
      </c>
      <c r="C112">
        <v>1270</v>
      </c>
      <c r="D112" s="15" t="s">
        <v>614</v>
      </c>
      <c r="E112" t="s">
        <v>355</v>
      </c>
      <c r="F112" t="s">
        <v>67</v>
      </c>
      <c r="G112" s="6" t="s">
        <v>112</v>
      </c>
      <c r="H112" s="7" t="s">
        <v>411</v>
      </c>
      <c r="I112" s="7">
        <v>30</v>
      </c>
      <c r="O112" s="10">
        <v>9780593712948</v>
      </c>
      <c r="P112" s="2" t="s">
        <v>113</v>
      </c>
      <c r="Q112" s="7" t="str">
        <f>H112</f>
        <v>Riverhead Books</v>
      </c>
      <c r="R112" s="3">
        <v>20</v>
      </c>
      <c r="X112" s="21">
        <v>9780593712955</v>
      </c>
      <c r="Y112" s="4" t="s">
        <v>114</v>
      </c>
      <c r="Z112" s="4" t="str">
        <f>Z110</f>
        <v>Fitzcarraldo Editions</v>
      </c>
      <c r="AA112" s="5">
        <v>12.42</v>
      </c>
      <c r="AG112" s="8">
        <v>9781804271094</v>
      </c>
      <c r="AH112" t="str">
        <f t="shared" si="5"/>
        <v>covers/empusium.jpg</v>
      </c>
      <c r="AO112" s="25" t="s">
        <v>615</v>
      </c>
      <c r="AP112" s="26" t="s">
        <v>616</v>
      </c>
      <c r="AT112" t="s">
        <v>23</v>
      </c>
      <c r="AU112" t="s">
        <v>23</v>
      </c>
      <c r="AW112" t="s">
        <v>31</v>
      </c>
    </row>
    <row r="113" spans="1:52" x14ac:dyDescent="0.25">
      <c r="A113" t="s">
        <v>618</v>
      </c>
      <c r="B113" t="s">
        <v>78</v>
      </c>
      <c r="C113">
        <v>1500</v>
      </c>
      <c r="D113" s="15" t="s">
        <v>617</v>
      </c>
      <c r="E113" t="s">
        <v>355</v>
      </c>
      <c r="F113" t="s">
        <v>67</v>
      </c>
      <c r="G113" s="6" t="s">
        <v>112</v>
      </c>
      <c r="H113" s="7" t="s">
        <v>542</v>
      </c>
      <c r="I113" s="7">
        <v>24</v>
      </c>
      <c r="O113" s="10">
        <v>9781644214473</v>
      </c>
      <c r="P113" s="2"/>
      <c r="Q113" s="7"/>
      <c r="Y113" s="4" t="s">
        <v>114</v>
      </c>
      <c r="Z113" s="4" t="s">
        <v>542</v>
      </c>
      <c r="AA113" s="5">
        <v>14</v>
      </c>
      <c r="AG113" s="8">
        <v>9781644214480</v>
      </c>
      <c r="AH113" t="str">
        <f t="shared" si="5"/>
        <v>covers/mr-distinctive.jpg</v>
      </c>
      <c r="AO113" s="25" t="s">
        <v>619</v>
      </c>
      <c r="AT113" t="s">
        <v>23</v>
      </c>
      <c r="AU113" t="s">
        <v>23</v>
      </c>
      <c r="AW113" t="s">
        <v>31</v>
      </c>
    </row>
    <row r="114" spans="1:52" x14ac:dyDescent="0.25">
      <c r="A114" t="s">
        <v>620</v>
      </c>
      <c r="B114" t="s">
        <v>78</v>
      </c>
      <c r="C114">
        <v>1600</v>
      </c>
      <c r="D114" s="15" t="s">
        <v>625</v>
      </c>
      <c r="E114" t="s">
        <v>355</v>
      </c>
      <c r="F114" t="s">
        <v>67</v>
      </c>
      <c r="G114" s="6" t="s">
        <v>112</v>
      </c>
      <c r="H114" s="7" t="s">
        <v>542</v>
      </c>
      <c r="I114" s="7">
        <v>23</v>
      </c>
      <c r="O114" s="10">
        <v>9781644210345</v>
      </c>
      <c r="P114" s="2"/>
      <c r="Q114" s="7"/>
      <c r="Y114" s="4" t="s">
        <v>114</v>
      </c>
      <c r="Z114" s="4" t="s">
        <v>542</v>
      </c>
      <c r="AA114" s="5">
        <v>14</v>
      </c>
      <c r="AG114" s="8">
        <v>9781644210352</v>
      </c>
      <c r="AH114" t="str">
        <f t="shared" si="5"/>
        <v>covers/lost-soul.jpg</v>
      </c>
      <c r="AO114" s="25" t="s">
        <v>622</v>
      </c>
      <c r="AP114" s="26" t="s">
        <v>621</v>
      </c>
      <c r="AT114" t="s">
        <v>23</v>
      </c>
      <c r="AU114" t="s">
        <v>23</v>
      </c>
      <c r="AW114" t="s">
        <v>31</v>
      </c>
    </row>
    <row r="115" spans="1:52" x14ac:dyDescent="0.25">
      <c r="A115" t="s">
        <v>626</v>
      </c>
      <c r="B115" t="s">
        <v>302</v>
      </c>
      <c r="C115">
        <v>1540</v>
      </c>
      <c r="D115" s="15" t="s">
        <v>627</v>
      </c>
      <c r="E115" t="s">
        <v>480</v>
      </c>
      <c r="G115" s="6"/>
      <c r="P115" s="2" t="s">
        <v>113</v>
      </c>
      <c r="Q115" s="7" t="s">
        <v>629</v>
      </c>
      <c r="R115" s="3">
        <v>19.5</v>
      </c>
      <c r="X115" s="21">
        <v>9781786079299</v>
      </c>
      <c r="Y115" s="4" t="s">
        <v>114</v>
      </c>
      <c r="Z115" s="4" t="str">
        <f>Q115</f>
        <v>Point Blank</v>
      </c>
      <c r="AA115" s="5">
        <v>8.5</v>
      </c>
      <c r="AG115" s="8">
        <v>9781786079282</v>
      </c>
      <c r="AH115" t="str">
        <f t="shared" si="5"/>
        <v>covers/torn-curtain.jpg</v>
      </c>
      <c r="AO115" s="25" t="s">
        <v>628</v>
      </c>
      <c r="AY115" t="s">
        <v>630</v>
      </c>
      <c r="AZ115">
        <v>2</v>
      </c>
    </row>
    <row r="116" spans="1:52" x14ac:dyDescent="0.25">
      <c r="G116" s="6"/>
      <c r="P116" s="2"/>
      <c r="Q116" s="7"/>
      <c r="Y116" s="4"/>
      <c r="Z116" s="4"/>
    </row>
    <row r="117" spans="1:52" x14ac:dyDescent="0.25">
      <c r="G117" s="6"/>
      <c r="P117" s="2"/>
      <c r="Q117" s="7"/>
      <c r="Y117" s="4"/>
      <c r="Z117" s="4"/>
    </row>
    <row r="118" spans="1:52" x14ac:dyDescent="0.25">
      <c r="G118" s="6"/>
      <c r="P118" s="2"/>
      <c r="Q118" s="7"/>
      <c r="Y118" s="4"/>
      <c r="Z118" s="4"/>
    </row>
    <row r="119" spans="1:52" x14ac:dyDescent="0.25">
      <c r="G119" s="6"/>
      <c r="P119" s="2"/>
      <c r="Q119" s="7"/>
      <c r="Y119" s="4"/>
      <c r="Z119" s="4"/>
    </row>
    <row r="120" spans="1:52" x14ac:dyDescent="0.25">
      <c r="G120" s="6"/>
      <c r="Q120" s="7"/>
      <c r="Y120" s="4"/>
      <c r="Z120" s="4"/>
    </row>
    <row r="121" spans="1:52" x14ac:dyDescent="0.25">
      <c r="G121" s="6"/>
      <c r="Q121" s="7"/>
      <c r="Y121" s="4"/>
      <c r="Z121" s="4"/>
    </row>
    <row r="122" spans="1:52" x14ac:dyDescent="0.25">
      <c r="G122" s="6"/>
      <c r="Q122" s="7"/>
      <c r="Y122" s="4"/>
      <c r="Z122" s="4"/>
    </row>
    <row r="123" spans="1:52" x14ac:dyDescent="0.25">
      <c r="G123" s="6"/>
      <c r="Q123" s="7"/>
      <c r="Y123" s="4"/>
      <c r="Z123" s="4"/>
    </row>
    <row r="124" spans="1:52" x14ac:dyDescent="0.25">
      <c r="G124" s="6"/>
      <c r="Q124" s="7"/>
      <c r="Y124" s="4"/>
      <c r="Z124" s="4"/>
    </row>
    <row r="125" spans="1:52" x14ac:dyDescent="0.25">
      <c r="G125" s="6"/>
      <c r="Q125" s="7"/>
      <c r="Y125" s="4"/>
      <c r="Z125" s="4"/>
    </row>
    <row r="126" spans="1:52" x14ac:dyDescent="0.25">
      <c r="G126" s="6"/>
      <c r="Q126" s="7"/>
      <c r="Y126" s="4"/>
      <c r="Z126" s="4"/>
    </row>
    <row r="127" spans="1:52" x14ac:dyDescent="0.25">
      <c r="G127" s="6"/>
      <c r="Q127" s="7"/>
      <c r="Y127" s="4"/>
      <c r="Z127" s="4"/>
    </row>
    <row r="128" spans="1:52" x14ac:dyDescent="0.25">
      <c r="G128" s="6"/>
      <c r="Q128" s="7"/>
      <c r="Y128" s="4"/>
      <c r="Z128" s="4"/>
    </row>
    <row r="129" spans="7:26" x14ac:dyDescent="0.25">
      <c r="G129" s="6"/>
      <c r="Q129" s="7"/>
      <c r="Y129" s="4"/>
      <c r="Z129" s="4"/>
    </row>
    <row r="130" spans="7:26" x14ac:dyDescent="0.25">
      <c r="G130" s="6"/>
      <c r="Q130" s="7"/>
      <c r="Y130" s="4"/>
      <c r="Z130" s="4"/>
    </row>
    <row r="131" spans="7:26" x14ac:dyDescent="0.25">
      <c r="G131" s="6"/>
      <c r="Q131" s="7"/>
      <c r="Y131" s="4"/>
      <c r="Z131" s="4"/>
    </row>
    <row r="132" spans="7:26" x14ac:dyDescent="0.25">
      <c r="G132" s="6"/>
      <c r="Q132" s="7"/>
      <c r="Y132" s="4"/>
      <c r="Z132" s="4"/>
    </row>
    <row r="133" spans="7:26" x14ac:dyDescent="0.25">
      <c r="G133" s="6"/>
      <c r="Q133" s="7"/>
      <c r="Y133" s="4"/>
      <c r="Z133" s="4"/>
    </row>
    <row r="134" spans="7:26" x14ac:dyDescent="0.25">
      <c r="G134" s="6"/>
      <c r="Q134" s="7"/>
      <c r="Y134" s="4"/>
      <c r="Z134" s="4"/>
    </row>
    <row r="135" spans="7:26" x14ac:dyDescent="0.25">
      <c r="G135" s="6"/>
      <c r="Q135" s="7"/>
      <c r="Y135" s="4"/>
      <c r="Z135" s="4"/>
    </row>
    <row r="136" spans="7:26" x14ac:dyDescent="0.25">
      <c r="G136" s="6"/>
      <c r="Q136" s="7"/>
      <c r="Y136" s="4"/>
      <c r="Z136" s="4"/>
    </row>
    <row r="137" spans="7:26" x14ac:dyDescent="0.25">
      <c r="G137" s="6"/>
      <c r="Q137" s="7"/>
      <c r="Y137" s="4"/>
      <c r="Z137" s="4"/>
    </row>
    <row r="138" spans="7:26" x14ac:dyDescent="0.25">
      <c r="G138" s="6"/>
      <c r="Q138" s="7"/>
      <c r="Y138" s="4"/>
      <c r="Z138" s="4"/>
    </row>
    <row r="139" spans="7:26" x14ac:dyDescent="0.25">
      <c r="G139" s="6"/>
      <c r="Q139" s="7"/>
      <c r="Y139" s="4"/>
      <c r="Z139" s="4"/>
    </row>
    <row r="140" spans="7:26" x14ac:dyDescent="0.25">
      <c r="G140" s="6"/>
      <c r="Q140" s="7"/>
      <c r="Y140" s="4"/>
      <c r="Z140" s="4"/>
    </row>
    <row r="141" spans="7:26" x14ac:dyDescent="0.25">
      <c r="G141" s="6"/>
      <c r="Q141" s="7"/>
      <c r="Y141" s="4"/>
      <c r="Z141" s="4"/>
    </row>
    <row r="142" spans="7:26" x14ac:dyDescent="0.25">
      <c r="G142" s="6"/>
      <c r="Q142" s="7"/>
      <c r="Y142" s="4"/>
      <c r="Z142" s="4"/>
    </row>
    <row r="143" spans="7:26" x14ac:dyDescent="0.25">
      <c r="G143" s="6"/>
      <c r="Q143" s="7"/>
      <c r="Y143" s="4"/>
      <c r="Z143" s="4"/>
    </row>
    <row r="144" spans="7:26" x14ac:dyDescent="0.25">
      <c r="G144" s="6"/>
      <c r="Q144" s="7"/>
      <c r="Y144" s="4"/>
      <c r="Z144" s="4"/>
    </row>
    <row r="145" spans="7:26" x14ac:dyDescent="0.25">
      <c r="G145" s="6"/>
      <c r="Q145" s="7"/>
      <c r="Y145" s="4"/>
      <c r="Z145" s="4"/>
    </row>
    <row r="146" spans="7:26" x14ac:dyDescent="0.25">
      <c r="G146" s="6"/>
      <c r="Q146" s="7"/>
      <c r="Y146" s="4"/>
      <c r="Z146" s="4"/>
    </row>
    <row r="147" spans="7:26" x14ac:dyDescent="0.25">
      <c r="G147" s="6"/>
      <c r="Q147" s="7"/>
      <c r="Y147" s="4"/>
      <c r="Z147" s="4"/>
    </row>
    <row r="148" spans="7:26" x14ac:dyDescent="0.25">
      <c r="G148" s="6"/>
      <c r="Q148" s="7"/>
      <c r="Y148" s="4"/>
      <c r="Z148" s="4"/>
    </row>
    <row r="149" spans="7:26" x14ac:dyDescent="0.25">
      <c r="G149" s="6"/>
      <c r="Q149" s="7"/>
      <c r="Y149" s="4"/>
      <c r="Z149" s="4"/>
    </row>
    <row r="150" spans="7:26" x14ac:dyDescent="0.25">
      <c r="G150" s="6"/>
      <c r="Q150" s="7"/>
      <c r="Y150" s="4"/>
      <c r="Z150" s="4"/>
    </row>
    <row r="151" spans="7:26" x14ac:dyDescent="0.25">
      <c r="G151" s="6"/>
      <c r="Q151" s="7"/>
      <c r="Y151" s="4"/>
      <c r="Z151" s="4"/>
    </row>
    <row r="152" spans="7:26" x14ac:dyDescent="0.25">
      <c r="G152" s="6"/>
      <c r="Q152" s="7"/>
      <c r="Y152" s="4"/>
      <c r="Z152" s="4"/>
    </row>
    <row r="153" spans="7:26" x14ac:dyDescent="0.25">
      <c r="G153" s="6"/>
      <c r="Q153" s="7"/>
      <c r="Y153" s="4"/>
      <c r="Z153" s="4"/>
    </row>
    <row r="154" spans="7:26" x14ac:dyDescent="0.25">
      <c r="G154" s="6"/>
      <c r="Q154" s="7"/>
      <c r="Z154" s="4"/>
    </row>
    <row r="155" spans="7:26" x14ac:dyDescent="0.25">
      <c r="G155" s="6"/>
      <c r="Q155" s="7"/>
      <c r="Z155" s="4"/>
    </row>
    <row r="156" spans="7:26" x14ac:dyDescent="0.25">
      <c r="G156" s="6"/>
      <c r="Q156" s="7"/>
      <c r="Z156" s="4"/>
    </row>
    <row r="157" spans="7:26" x14ac:dyDescent="0.25">
      <c r="G157" s="6"/>
      <c r="Q157" s="7"/>
      <c r="Z157" s="4"/>
    </row>
    <row r="158" spans="7:26" x14ac:dyDescent="0.25">
      <c r="G158" s="6"/>
      <c r="Q158" s="7"/>
      <c r="Z158" s="4"/>
    </row>
    <row r="159" spans="7:26" x14ac:dyDescent="0.25">
      <c r="G159" s="6"/>
      <c r="Q159" s="7"/>
      <c r="Z159" s="4"/>
    </row>
    <row r="160" spans="7:26" x14ac:dyDescent="0.25">
      <c r="G160" s="6"/>
      <c r="Q160" s="7"/>
      <c r="Z160" s="4"/>
    </row>
    <row r="161" spans="17:26" x14ac:dyDescent="0.25">
      <c r="Q161" s="7"/>
      <c r="Z161" s="4"/>
    </row>
    <row r="162" spans="17:26" x14ac:dyDescent="0.25">
      <c r="Q162" s="7"/>
      <c r="Z162" s="4"/>
    </row>
    <row r="163" spans="17:26" x14ac:dyDescent="0.25">
      <c r="Q163" s="7"/>
      <c r="Z163" s="4"/>
    </row>
    <row r="164" spans="17:26" x14ac:dyDescent="0.25">
      <c r="Q164" s="7"/>
      <c r="Z164" s="4"/>
    </row>
    <row r="165" spans="17:26" x14ac:dyDescent="0.25">
      <c r="Q165" s="7"/>
      <c r="Z165" s="4"/>
    </row>
    <row r="166" spans="17:26" x14ac:dyDescent="0.25">
      <c r="Q166" s="7"/>
      <c r="Z166" s="4"/>
    </row>
  </sheetData>
  <phoneticPr fontId="6" type="noConversion"/>
  <dataValidations count="2">
    <dataValidation type="list" allowBlank="1" showInputMessage="1" showErrorMessage="1" sqref="G50:G57 Z167:Z1048576 O45 AG45 X45 G48 Q167:Q1048576 P120:P1048576 Y154:Y1048576 G161:H1048576" xr:uid="{D2C177B6-092A-4420-B1E2-D1681CD512E9}">
      <formula1>"hardcover, paperback, eBook, audiobook1"</formula1>
    </dataValidation>
    <dataValidation type="list" allowBlank="1" showInputMessage="1" showErrorMessage="1" sqref="AT1:AU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2026-03-29T10:49:41Z</dcterms:modified>
</cp:coreProperties>
</file>