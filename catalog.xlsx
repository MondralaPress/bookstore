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384" documentId="8_{7A17575A-3159-426C-AEB6-2C4506AAA768}" xr6:coauthVersionLast="47" xr6:coauthVersionMax="47" xr10:uidLastSave="{4E9B8C9D-086E-4EEF-87DB-5C66815CC704}"/>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91" i="1" l="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<sst xmlns="http://schemas.openxmlformats.org/spreadsheetml/2006/main" count="2387" uniqueCount="1071">
  <si>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</si>
  <si>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</si>
  <si>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</si>
  <si>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</si>
  <si>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</si>
  <si>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</si>
  <si>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</si>
  <si>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</si>
  <si>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</si>
  <si>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</si>
  <si>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</si>
  <si>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</si>
  <si>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</si>
  <si>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</si>
  <si>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</si>
  <si>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</si>
  <si>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</si>
  <si>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</si>
  <si>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</si>
  <si>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</si>
  <si>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</si>
  <si>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</si>
  <si>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</si>
  <si>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</si>
  <si>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</si>
  <si>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</si>
  <si>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</si>
  <si>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</si>
  <si>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</si>
  <si>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</si>
  <si>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</si>
  <si>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</si>
  <si>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</si>
  <si>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</si>
  <si>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</si>
  <si>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</si>
  <si>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</si>
  <si>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</si>
  <si>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</si>
  <si>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</si>
  <si>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</si>
  <si>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</si>
  <si>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</si>
  <si>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</si>
  <si>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</si>
  <si>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</si>
  <si>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</si>
  <si>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</si>
  <si>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</si>
  <si>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</si>
  <si>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</si>
  <si>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</si>
  <si>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</si>
  <si>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</si>
  <si>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</si>
  <si>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</si>
  <si>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</si>
  <si>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</si>
  <si>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</si>
  <si>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</si>
  <si>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</si>
  <si>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</si>
  <si>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</si>
  <si>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</si>
  <si>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</si>
  <si>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</si>
  <si>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</si>
  <si>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</si>
  <si>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</si>
  <si>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</si>
  <si>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</si>
  <si>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</si>
  <si>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</si>
  <si>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</si>
  <si>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</si>
  <si>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</si>
  <si>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</si>
  <si>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</si>
  <si>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</si>
  <si>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</si>
  <si>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</si>
  <si>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</si>
  <si>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</si>
  <si>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</si>
  <si>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</si>
  <si>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</si>
  <si>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</si>
  <si>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</si>
  <si>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</si>
  <si>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</si>
  <si>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</si>
  <si>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</si>
  <si>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</si>
  <si>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</si>
  <si>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</si>
  <si>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</si>
  <si>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</si>
  <si>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</si>
  <si>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</si>
  <si>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</si>
  <si>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</si>
  <si>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</si>
  <si>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</si>
  <si>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</si>
  <si>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</si>
  <si>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</si>
  <si>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</si>
  <si>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</si>
  <si>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</si>
  <si>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</si>
  <si>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</si>
  <si>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</si>
  <si>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</si>
  <si>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</si>
  <si>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</si>
  <si>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</si>
  <si>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</si>
  <si>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</si>
  <si>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</si>
  <si>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</si>
  <si>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</si>
  <si>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</si>
  <si>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</si>
  <si>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</si>
  <si>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</si>
  <si>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</si>
  <si>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</si>
  <si>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</si>
  <si>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</si>
  <si>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</si>
  <si>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</si>
  <si>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</si>
  <si>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</si>
  <si>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</si>
  <si>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</si>
  <si>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</si>
  <si>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</si>
  <si>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</si>
  <si>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</si>
  <si>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</si>
  <si>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</si>
  <si>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</si>
  <si>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</si>
  <si>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</si>
  <si>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</si>
  <si>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</si>
  <si>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</si>
  <si>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</si>
  <si>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</si>
  <si>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</si>
  <si>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</si>
  <si>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</si>
  <si>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</si>
  <si>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</si>
  <si>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</si>
  <si>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</si>
  <si>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</si>
  <si>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</si>
  <si>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</si>
  <si>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</si>
  <si>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</si>
  <si>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</si>
  <si>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</si>
  <si>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</si>
  <si>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</si>
  <si>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</si>
  <si>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</si>
  <si>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</si>
  <si>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</si>
  <si>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</si>
  <si>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</si>
  <si>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</si>
  <si>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</si>
  <si>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</si>
  <si>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</si>
  <si>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</si>
  <si>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</si>
  <si>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</si>
  <si>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</si>
  <si>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</si>
  <si>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</si>
  <si>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</si>
  <si>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</si>
  <si>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</si>
  <si>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</si>
  <si>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</si>
  <si>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</si>
  <si>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</si>
  <si>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</si>
  <si>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</si>
  <si>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</si>
  <si>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</si>
  <si>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</si>
  <si>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</si>
  <si>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</si>
  <si>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</si>
  <si>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</si>
  <si>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</si>
  <si>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</si>
  <si>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</si>
  <si>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</si>
  <si>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</si>
  <si>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</si>
  <si>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</si>
  <si>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</si>
  <si>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</si>
  <si>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</si>
  <si>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</si>
  <si>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</si>
  <si>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</si>
  <si>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</si>
  <si>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</si>
  <si>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</si>
  <si>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</si>
  <si>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</si>
  <si>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</si>
  <si>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</si>
  <si>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</si>
  <si>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</si>
  <si>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</si>
  <si>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</si>
  <si>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</si>
  <si>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</si>
  <si>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</si>
  <si>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</si>
  <si>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</si>
  <si>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</si>
  <si>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</si>
  <si>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</si>
  <si>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</si>
  <si>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</si>
  <si>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</si>
  <si>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</si>
  <si>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</si>
  <si>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</si>
  <si>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</si>
  <si>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</si>
  <si>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</si>
  <si>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</si>
  <si>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</si>
  <si>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</si>
  <si>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</si>
  <si>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</si>
  <si>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</si>
  <si>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</si>
  <si>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</si>
  <si>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</si>
  <si>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</si>
  <si>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</si>
  <si>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</si>
  <si>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</si>
  <si>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</si>
  <si>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</si>
  <si>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</si>
  <si>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</si>
  <si>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</si>
  <si>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</si>
  <si>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</si>
  <si>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</si>
  <si>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</si>
  <si>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</si>
  <si>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</si>
  <si>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</si>
  <si>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</si>
  <si>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</si>
  <si>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</si>
  <si>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</si>
  <si>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</si>
  <si>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</si>
  <si>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</si>
  <si>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</si>
  <si>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</si>
  <si>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</si>
  <si>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</si>
  <si>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</si>
  <si>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</si>
  <si>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</si>
  <si>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</si>
  <si>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</si>
  <si>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</si>
  <si>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</si>
  <si>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</si>
  <si>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</si>
  <si>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</si>
  <si>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</si>
  <si>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</si>
  <si>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</si>
  <si>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</si>
  <si>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</si>
  <si>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</si>
  <si>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</si>
  <si>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</si>
  <si>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</si>
  <si>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</si>
  <si>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</si>
  <si>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</si>
  <si>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</si>
  <si>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</si>
  <si>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</si>
  <si>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</si>
  <si>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</si>
  <si>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</si>
  <si>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</si>
  <si>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</si>
  <si>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</si>
  <si>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</si>
  <si>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</si>
  <si>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</si>
  <si>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</si>
  <si>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</si>
  <si>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</si>
  <si>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</si>
  <si>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</si>
  <si>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</si>
  <si>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</si>
  <si>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</si>
  <si>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</si>
  <si>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</si>
  <si>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</si>
  <si>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</si>
  <si>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</si>
  <si>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</si>
  <si>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</si>
  <si>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</si>
  <si>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</si>
  <si>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</si>
  <si>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</si>
  <si>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</si>
  <si>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</si>
  <si>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</si>
  <si>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</si>
  <si>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</si>
  <si>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</si>
  <si>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</si>
  <si>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</si>
  <si>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</si>
  <si>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</si>
  <si>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</si>
  <si>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</si>
  <si>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</si>
  <si>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</si>
  <si>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</si>
  <si>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</si>
  <si>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</si>
  <si>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</si>
  <si>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</si>
  <si>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</si>
  <si>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</si>
  <si>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</si>
  <si>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</si>
  <si>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</si>
  <si>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</si>
  <si>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</si>
  <si>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</si>
  <si>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</si>
  <si>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</si>
  <si>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</si>
  <si>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</si>
  <si>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</si>
  <si>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</si>
  <si>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</si>
  <si>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</si>
  <si>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</si>
  <si>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</si>
  <si>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</si>
  <si>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</si>
  <si>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</si>
  <si>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</si>
  <si>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</si>
  <si>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</si>
  <si>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</si>
  <si>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</si>
  <si>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</si>
  <si>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</si>
  <si>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</si>
  <si>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</si>
  <si>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</si>
  <si>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</si>
  <si>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</si>
  <si>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</si>
  <si>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</si>
  <si>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</si>
  <si>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</si>
  <si>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</si>
  <si>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</si>
  <si>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</si>
  <si>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</si>
  <si>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</si>
  <si>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</si>
  <si>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</si>
  <si>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</si>
  <si>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</si>
  <si>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</si>
  <si>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</si>
  <si>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</si>
  <si>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</si>
  <si>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</si>
  <si>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</si>
  <si>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</si>
  <si>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</si>
  <si>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</si>
  <si>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</si>
  <si>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</si>
  <si>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</si>
  <si>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</si>
  <si>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</si>
  <si>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</si>
  <si>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</si>
  <si>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</si>
  <si>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</si>
  <si>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</si>
  <si>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</si>
  <si>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</si>
  <si>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</si>
  <si>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</si>
  <si>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</si>
  <si>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</si>
  <si>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</si>
  <si>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</si>
  <si>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</si>
  <si>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</si>
  <si>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</si>
  <si>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</si>
  <si>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</si>
  <si>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</si>
  <si>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</si>
  <si>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</si>
  <si>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</si>
  <si>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</si>
  <si>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</si>
  <si>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</si>
  <si>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</si>
  <si>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</si>
  <si>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</si>
  <si>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</si>
  <si>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</si>
  <si>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</si>
  <si>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</si>
  <si>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</si>
  <si>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</si>
  <si>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</si>
  <si>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</si>
  <si>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</si>
  <si>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</si>
  <si>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</si>
  <si>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</si>
  <si>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</si>
  <si>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</si>
  <si>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</si>
  <si>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</si>
  <si>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</si>
  <si>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</si>
  <si>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</si>
  <si>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</si>
  <si>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</si>
  <si>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</si>
  <si>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</si>
  <si>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</si>
  <si>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</si>
  <si>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</si>
  <si>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</si>
  <si>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</si>
  <si>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</si>
  <si>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</si>
  <si>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</si>
  <si>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</si>
  <si>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</si>
  <si>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</si>
  <si>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</si>
  <si>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</si>
  <si>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</si>
  <si>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</si>
  <si>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</si>
  <si>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</si>
  <si>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</si>
  <si>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</si>
  <si>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</si>
  <si>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</si>
  <si>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</si>
  <si>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</si>
  <si>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</si>
  <si>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</si>
  <si>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</si>
  <si>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</si>
  <si>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</si>
  <si>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</si>
  <si>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</si>
  <si>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</si>
  <si>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</si>
  <si>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</si>
  <si>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</si>
  <si>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</si>
  <si>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</si>
  <si>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</si>
  <si>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</si>
  <si>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</si>
  <si>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</si>
  <si>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</si>
  <si>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</si>
  <si>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</si>
  <si>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</si>
  <si>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</si>
  <si>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</si>
  <si>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</si>
  <si>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</si>
  <si>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</si>
  <si>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</si>
  <si>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</si>
  <si>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</si>
  <si>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</si>
  <si>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</si>
  <si>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</si>
  <si>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</si>
  <si>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</si>
  <si>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</si>
  <si>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</si>
  <si>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</si>
  <si>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</si>
  <si>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</si>
  <si>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</si>
  <si>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</si>
  <si>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</si>
  <si>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</si>
  <si>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</si>
  <si>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</si>
  <si>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</si>
  <si>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</si>
  <si>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</si>
  <si>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</si>
  <si>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</si>
  <si>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</si>
  <si>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</si>
  <si>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</si>
  <si>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</si>
  <si>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</si>
  <si>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</si>
  <si>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</si>
  <si>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</si>
  <si>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</si>
  <si>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</si>
  <si>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</si>
  <si>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</si>
  <si>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</si>
  <si>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</si>
  <si>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</si>
  <si>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</si>
  <si>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</si>
  <si>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</si>
  <si>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</si>
  <si>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</si>
  <si>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</si>
  <si>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</si>
  <si>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</si>
  <si>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</si>
  <si>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</si>
  <si>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</si>
  <si>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</si>
  <si>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</si>
  <si>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</si>
  <si>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</si>
  <si>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</si>
  <si>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</si>
  <si>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</si>
  <si>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</si>
  <si>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</si>
  <si>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</si>
  <si>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</si>
  <si>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</si>
  <si>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</si>
  <si>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</si>
  <si>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</si>
  <si>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</si>
  <si>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</si>
  <si>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</si>
  <si>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</si>
  <si>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</si>
  <si>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</si>
  <si>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</si>
  <si>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</si>
  <si>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</si>
  <si>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</si>
  <si>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</si>
  <si>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</si>
  <si>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</si>
  <si>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</si>
  <si>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</si>
  <si>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</si>
  <si>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</si>
  <si>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</si>
  <si>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</si>
  <si>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</si>
  <si>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</si>
  <si>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</si>
  <si>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</si>
  <si>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</si>
  <si>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</si>
  <si>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</si>
  <si>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</si>
  <si>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</si>
  <si>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</si>
  <si>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</si>
  <si>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</si>
  <si>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</si>
  <si>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</si>
  <si>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</si>
  <si>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</si>
  <si>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</si>
  <si>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</si>
  <si>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</si>
  <si>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</si>
  <si>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</si>
  <si>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</si>
  <si>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</si>
  <si>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</si>
  <si>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</si>
  <si>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</si>
  <si>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</si>
  <si>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</si>
  <si>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</si>
  <si>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</si>
  <si>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</si>
  <si>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</si>
  <si>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</si>
  <si>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</si>
  <si>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</si>
  <si>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</si>
  <si>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</si>
  <si>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</si>
  <si>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</si>
  <si>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</si>
  <si>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</si>
  <si>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</si>
  <si>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</si>
  <si>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</si>
  <si>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</si>
  <si>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</si>
  <si>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</si>
  <si>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</si>
  <si>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</si>
  <si>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</si>
  <si>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</si>
  <si>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</si>
  <si>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</si>
  <si>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</si>
  <si>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</si>
  <si>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</si>
  <si>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</si>
  <si>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</si>
  <si>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</si>
  <si>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</si>
  <si>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</si>
  <si>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</si>
  <si>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</si>
  <si>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</si>
  <si>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</si>
  <si>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</si>
  <si>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</si>
  <si>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</si>
  <si>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</si>
  <si>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</si>
  <si>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</si>
  <si>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</si>
  <si>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</si>
  <si>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</si>
  <si>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</si>
  <si>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</si>
  <si>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</si>
  <si>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</si>
  <si>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</si>
  <si>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</si>
  <si>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</si>
  <si>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</si>
  <si>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</si>
  <si>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</si>
  <si>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</si>
  <si>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</si>
  <si>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</si>
  <si>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</si>
  <si>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</si>
  <si>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</si>
  <si>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</si>
  <si>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</si>
  <si>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</si>
  <si>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</si>
  <si>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</si>
  <si>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</si>
  <si>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</si>
  <si>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</si>
  <si>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</si>
  <si>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</si>
  <si>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</si>
  <si>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</si>
  <si>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</si>
  <si>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</si>
  <si>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</si>
  <si>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</si>
  <si>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</si>
  <si>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</si>
  <si>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</si>
  <si>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</si>
  <si>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</si>
  <si>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</si>
  <si>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</si>
  <si>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</si>
  <si>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</si>
  <si>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</si>
  <si>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</si>
  <si>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</si>
  <si>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</si>
  <si>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</si>
  <si>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</si>
  <si>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</si>
  <si>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</si>
  <si>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</si>
  <si>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</si>
  <si>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</si>
  <si>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</si>
  <si>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</si>
  <si>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</si>
  <si>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</si>
  <si>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</si>
  <si>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</si>
  <si>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</si>
  <si>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</si>
  <si>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</si>
  <si>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</si>
  <si>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</si>
  <si>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</si>
  <si>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</si>
  <si>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</si>
  <si>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</si>
  <si>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</si>
  <si>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</si>
  <si>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</si>
  <si>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</si>
  <si>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</si>
  <si>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</si>
  <si>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</si>
  <si>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</si>
  <si>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</si>
  <si>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</si>
  <si>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</si>
  <si>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</si>
  <si>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</si>
  <si>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</si>
  <si>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</si>
  <si>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</si>
  <si>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</si>
  <si>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</si>
  <si>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</si>
  <si>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</si>
  <si>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</si>
  <si>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</si>
  <si>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</si>
  <si>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</si>
  <si>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</si>
  <si>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</si>
  <si>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</si>
  <si>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</si>
  <si>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</si>
  <si>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</si>
  <si>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</si>
  <si>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</si>
  <si>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</si>
  <si>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</si>
  <si>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</si>
  <si>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</si>
  <si>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</si>
  <si>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</si>
  <si>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</si>
  <si>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</si>
  <si>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</si>
  <si>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</si>
  <si>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</si>
  <si>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</si>
  <si>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</si>
  <si>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</si>
  <si>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</si>
  <si>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</si>
  <si>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</si>
  <si>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</si>
  <si>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</si>
  <si>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</si>
  <si>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</si>
  <si>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</si>
  <si>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</si>
  <si>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</si>
  <si>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</si>
  <si>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</si>
  <si>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</si>
  <si>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</si>
  <si>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</si>
  <si>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</si>
  <si>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</si>
  <si>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</si>
  <si>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</si>
  <si>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</si>
  <si>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</si>
  <si>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</si>
  <si>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</si>
  <si>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</si>
  <si>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</si>
  <si>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</si>
  <si>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</si>
  <si>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</si>
  <si>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</si>
  <si>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</si>
  <si>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</si>
  <si>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</si>
  <si>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</si>
  <si>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</si>
  <si>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</si>
  <si>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</si>
  <si>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</si>
  <si>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</si>
  <si>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</si>
  <si>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</si>
  <si>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</si>
  <si>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</si>
  <si>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</si>
  <si>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</si>
  <si>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</si>
  <si>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</si>
  <si>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</si>
  <si>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</si>
  <si>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</si>
  <si>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</si>
  <si>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</si>
  <si>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</si>
  <si>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</si>
  <si>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</si>
  <si>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</si>
  <si>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</si>
  <si>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</si>
  <si>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</si>
  <si>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</si>
  <si>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</si>
  <si>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</si>
  <si>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</si>
  <si>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</si>
  <si>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</si>
  <si>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</si>
  <si>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</si>
  <si>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</si>
  <si>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</si>
  <si>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</si>
  <si>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</si>
  <si>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</si>
  <si>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</si>
  <si>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</si>
  <si>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</si>
  <si>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</si>
  <si>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</si>
  <si>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Young Adult, Genre Fiction</t>
  </si>
  <si>
    <t>Phantoms of Breslau: An Inspector Mock Investigation</t>
  </si>
  <si>
    <t>Marek Krajewski</t>
  </si>
  <si>
    <t>MacLehose Press</t>
  </si>
  <si>
    <t>phtanoms-breslau</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</si>
  <si>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</si>
  <si>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</si>
  <si>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</si>
  <si>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</si>
  <si>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</si>
  <si>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</si>
  <si>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</si>
  <si>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</si>
  <si>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</si>
  <si>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</si>
  <si>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</si>
  <si>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</si>
  <si>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</si>
  <si>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</si>
  <si>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</si>
  <si>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</si>
  <si>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</si>
  <si>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</si>
  <si>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</si>
  <si>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</si>
  <si>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</si>
  <si>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</si>
  <si>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</si>
  <si>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</si>
  <si>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</si>
  <si>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</si>
  <si>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</si>
  <si>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</si>
  <si>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</si>
  <si>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</si>
  <si>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</si>
  <si>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</si>
  <si>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</si>
  <si>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</si>
  <si>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</si>
  <si>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</si>
  <si>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</si>
  <si>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</si>
  <si>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</si>
  <si>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</si>
  <si>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</si>
  <si>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</si>
  <si>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</si>
  <si>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</si>
  <si>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</si>
  <si>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</si>
  <si>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</si>
  <si>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</si>
  <si>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</si>
  <si>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</si>
  <si>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</si>
  <si>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</si>
  <si>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</si>
  <si>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</si>
  <si>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</si>
  <si>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</si>
  <si>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</si>
  <si>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</si>
  <si>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</si>
  <si>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</si>
  <si>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</si>
  <si>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</si>
  <si>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</si>
  <si>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</si>
  <si>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</si>
  <si>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</si>
  <si>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</si>
  <si>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</si>
  <si>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</si>
  <si>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</si>
  <si>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</si>
  <si>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</si>
  <si>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</si>
  <si>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</si>
  <si>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</si>
  <si>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</si>
  <si>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</si>
  <si>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</si>
  <si>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</si>
  <si>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</si>
  <si>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</si>
  <si>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</si>
  <si>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</si>
  <si>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</si>
  <si>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</si>
  <si>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</si>
  <si>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</si>
  <si>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</si>
  <si>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</si>
  <si>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</si>
  <si>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</si>
  <si>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</si>
  <si>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</si>
  <si>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</si>
  <si>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</si>
  <si>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</si>
  <si>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</si>
  <si>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</si>
  <si>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</si>
  <si>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</si>
  <si>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</si>
  <si>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</si>
  <si>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</si>
  <si>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</si>
  <si>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</si>
  <si>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</si>
  <si>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</si>
  <si>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</si>
  <si>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</si>
  <si>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</si>
  <si>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</si>
  <si>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</si>
  <si>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</si>
  <si>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</si>
  <si>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</si>
  <si>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</si>
  <si>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</si>
  <si>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</si>
  <si>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</si>
  <si>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</si>
  <si>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</si>
  <si>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</si>
  <si>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</si>
  <si>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</si>
  <si>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</si>
  <si>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</si>
  <si>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</si>
  <si>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</si>
  <si>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</si>
  <si>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</si>
  <si>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</si>
  <si>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</si>
  <si>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</si>
  <si>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</si>
  <si>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</si>
  <si>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</si>
  <si>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</si>
  <si>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</si>
  <si>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</si>
  <si>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</si>
  <si>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</si>
  <si>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</si>
  <si>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</si>
  <si>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</si>
  <si>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</si>
  <si>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</si>
  <si>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</si>
  <si>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</si>
  <si>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</si>
  <si>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</si>
  <si>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</si>
  <si>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</si>
  <si>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</si>
  <si>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</si>
  <si>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</si>
  <si>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</si>
  <si>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</si>
  <si>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</si>
  <si>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</si>
  <si>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</si>
  <si>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</si>
  <si>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</si>
  <si>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</si>
  <si>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</si>
  <si>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</si>
  <si>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</si>
  <si>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</si>
  <si>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</si>
  <si>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</si>
  <si>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</si>
  <si>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</si>
  <si>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</si>
  <si>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</si>
  <si>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</si>
  <si>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</si>
  <si>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</si>
  <si>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</si>
  <si>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</si>
  <si>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</si>
  <si>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</si>
  <si>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</si>
  <si>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</si>
  <si>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</si>
  <si>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enmperor-julian</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</si>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</sst>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xf numFmtId="49" fontId="0" fillId="0" borderId="0" xfId="0" applyNumberFormat="1" applyAlignment="1"/>
    <xf numFmtId="49" fontId="1" fillId="0" borderId="0" xfId="0" applyNumberFormat="1" applyFont="1" applyAlignment="1"/>
    <xf numFmtId="49" fontId="0" fillId="0" borderId="0" xfId="0" quotePrefix="1" applyNumberForma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132" zoomScale="60" zoomScaleNormal="60" workbookViewId="0">
      <selection activeCell="AY174" sqref="AY1:AZ1048576"/>
    </sheetView>
  </sheetViews>
  <sheetFormatPr defaultRowHeight="15" x14ac:dyDescent="0.25"/>
  <cols>
    <col min="1" max="1" width="29.140625" customWidth="1"/>
    <col min="2"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38" customWidth="1"/>
    <col min="53" max="55" width="19.7109375" customWidth="1"/>
  </cols>
  <sheetData>
    <row r="1" spans="1:62" x14ac:dyDescent="0.25">
      <c r="A1" t="s">
        <v>13</v>
      </c>
      <c r="B1" t="s">
        <v>183</v>
      </c>
      <c r="C1" t="s">
        <v>37</v>
      </c>
      <c r="D1" s="15" t="s">
        <v>24</v>
      </c>
      <c r="E1" t="s">
        <v>25</v>
      </c>
      <c r="F1" t="s">
        <v>32</v>
      </c>
      <c r="G1" t="s">
        <v>888</v>
      </c>
      <c r="H1" s="6" t="s">
        <v>108</v>
      </c>
      <c r="I1" s="6" t="s">
        <v>159</v>
      </c>
      <c r="J1" s="7" t="s">
        <v>160</v>
      </c>
      <c r="K1" s="7" t="s">
        <v>161</v>
      </c>
      <c r="L1" s="7" t="s">
        <v>162</v>
      </c>
      <c r="M1" s="7" t="s">
        <v>163</v>
      </c>
      <c r="N1" s="7" t="s">
        <v>164</v>
      </c>
      <c r="O1" s="7" t="s">
        <v>165</v>
      </c>
      <c r="P1" s="10" t="s">
        <v>166</v>
      </c>
      <c r="Q1" s="2" t="s">
        <v>109</v>
      </c>
      <c r="R1" s="2" t="s">
        <v>167</v>
      </c>
      <c r="S1" s="3" t="s">
        <v>168</v>
      </c>
      <c r="T1" s="3" t="s">
        <v>169</v>
      </c>
      <c r="U1" s="3" t="s">
        <v>170</v>
      </c>
      <c r="V1" s="3" t="s">
        <v>171</v>
      </c>
      <c r="W1" s="3" t="s">
        <v>172</v>
      </c>
      <c r="X1" s="3" t="s">
        <v>173</v>
      </c>
      <c r="Y1" s="21" t="s">
        <v>174</v>
      </c>
      <c r="Z1" s="4" t="s">
        <v>110</v>
      </c>
      <c r="AA1" s="4" t="s">
        <v>175</v>
      </c>
      <c r="AB1" s="5" t="s">
        <v>176</v>
      </c>
      <c r="AC1" s="5" t="s">
        <v>177</v>
      </c>
      <c r="AD1" s="5" t="s">
        <v>178</v>
      </c>
      <c r="AE1" s="5" t="s">
        <v>179</v>
      </c>
      <c r="AF1" s="5" t="s">
        <v>180</v>
      </c>
      <c r="AG1" s="5" t="s">
        <v>181</v>
      </c>
      <c r="AH1" s="8" t="s">
        <v>182</v>
      </c>
      <c r="AI1" t="s">
        <v>0</v>
      </c>
      <c r="AJ1" s="5" t="s">
        <v>34</v>
      </c>
      <c r="AK1" t="s">
        <v>17</v>
      </c>
      <c r="AL1" t="s">
        <v>18</v>
      </c>
      <c r="AM1" t="s">
        <v>19</v>
      </c>
      <c r="AN1" t="s">
        <v>20</v>
      </c>
      <c r="AO1" t="s">
        <v>21</v>
      </c>
      <c r="AP1" t="s">
        <v>648</v>
      </c>
      <c r="AQ1" t="s">
        <v>649</v>
      </c>
      <c r="AR1" t="s">
        <v>650</v>
      </c>
      <c r="AS1" t="s">
        <v>657</v>
      </c>
      <c r="AT1" s="25" t="s">
        <v>658</v>
      </c>
      <c r="AU1" t="s">
        <v>660</v>
      </c>
      <c r="AV1" t="s">
        <v>667</v>
      </c>
      <c r="AW1" t="s">
        <v>668</v>
      </c>
      <c r="AX1" t="s">
        <v>659</v>
      </c>
      <c r="AY1" s="34" t="s">
        <v>27</v>
      </c>
      <c r="AZ1" s="38" t="s">
        <v>203</v>
      </c>
      <c r="BA1" t="s">
        <v>206</v>
      </c>
      <c r="BB1" t="s">
        <v>204</v>
      </c>
      <c r="BC1" t="s">
        <v>207</v>
      </c>
      <c r="BD1" t="s">
        <v>22</v>
      </c>
      <c r="BE1" t="s">
        <v>38</v>
      </c>
      <c r="BF1" t="s">
        <v>28</v>
      </c>
      <c r="BG1" t="s">
        <v>29</v>
      </c>
      <c r="BH1" t="s">
        <v>34</v>
      </c>
      <c r="BI1" t="s">
        <v>35</v>
      </c>
      <c r="BJ1" t="s">
        <v>36</v>
      </c>
    </row>
    <row r="2" spans="1:62" x14ac:dyDescent="0.25">
      <c r="A2" t="s">
        <v>26</v>
      </c>
      <c r="B2" t="s">
        <v>85</v>
      </c>
      <c r="C2">
        <v>100</v>
      </c>
      <c r="D2" s="14" t="s">
        <v>1</v>
      </c>
      <c r="E2" t="s">
        <v>2</v>
      </c>
      <c r="H2" s="6" t="s">
        <v>111</v>
      </c>
      <c r="J2" s="7">
        <v>25</v>
      </c>
      <c r="P2" s="10">
        <v>9780684812199</v>
      </c>
      <c r="Q2" s="2" t="s">
        <v>112</v>
      </c>
      <c r="R2" s="2"/>
      <c r="S2" s="3">
        <v>15</v>
      </c>
      <c r="T2" s="3">
        <v>18</v>
      </c>
      <c r="U2" s="3">
        <v>15</v>
      </c>
      <c r="Y2" s="22">
        <v>9780306809330</v>
      </c>
      <c r="Z2" s="4" t="s">
        <v>113</v>
      </c>
      <c r="AA2" s="4"/>
      <c r="AB2" s="5">
        <v>15</v>
      </c>
      <c r="AC2" s="5">
        <v>18</v>
      </c>
      <c r="AD2" s="5">
        <v>15</v>
      </c>
      <c r="AH2" s="8">
        <v>9780684867380</v>
      </c>
      <c r="AI2" t="str">
        <f>"covers/" &amp; A2 &amp; ".jpg"</f>
        <v>covers/chopin-in-paris.jpg</v>
      </c>
      <c r="AY2" s="34" t="s">
        <v>323</v>
      </c>
      <c r="AZ2" s="38" t="s">
        <v>324</v>
      </c>
      <c r="BA2" t="s">
        <v>325</v>
      </c>
      <c r="BB2" t="s">
        <v>326</v>
      </c>
      <c r="BC2" t="s">
        <v>327</v>
      </c>
      <c r="BD2" t="s">
        <v>23</v>
      </c>
      <c r="BE2" t="s">
        <v>23</v>
      </c>
      <c r="BG2" t="s">
        <v>30</v>
      </c>
    </row>
    <row r="3" spans="1:62" x14ac:dyDescent="0.25">
      <c r="A3" t="s">
        <v>14</v>
      </c>
      <c r="B3" t="s">
        <v>86</v>
      </c>
      <c r="C3">
        <v>200</v>
      </c>
      <c r="D3" s="14" t="s">
        <v>3</v>
      </c>
      <c r="E3" t="s">
        <v>4</v>
      </c>
      <c r="H3" s="6" t="s">
        <v>111</v>
      </c>
      <c r="J3" s="7">
        <v>36</v>
      </c>
      <c r="P3" s="10">
        <v>9780312625924</v>
      </c>
      <c r="Q3" s="2" t="s">
        <v>112</v>
      </c>
      <c r="R3" s="2"/>
      <c r="S3" s="3">
        <v>18</v>
      </c>
      <c r="T3" s="3">
        <v>18</v>
      </c>
      <c r="U3" s="3">
        <v>15</v>
      </c>
      <c r="Y3" s="22">
        <v>9780312625948</v>
      </c>
      <c r="Z3" s="4" t="s">
        <v>113</v>
      </c>
      <c r="AA3" s="4"/>
      <c r="AB3" s="5">
        <v>18</v>
      </c>
      <c r="AC3" s="5">
        <v>18</v>
      </c>
      <c r="AD3" s="5">
        <v>15</v>
      </c>
      <c r="AH3" s="8">
        <v>9781429966078</v>
      </c>
      <c r="AI3" t="str">
        <f t="shared" ref="AI3:AI72" si="0">"covers/" &amp; A3 &amp; ".jpg"</f>
        <v>covers/peasant-prince.jpg</v>
      </c>
      <c r="AY3" s="34" t="s">
        <v>328</v>
      </c>
      <c r="BD3" t="s">
        <v>23</v>
      </c>
      <c r="BE3" t="s">
        <v>23</v>
      </c>
      <c r="BG3" t="s">
        <v>30</v>
      </c>
    </row>
    <row r="4" spans="1:62" x14ac:dyDescent="0.25">
      <c r="A4" t="s">
        <v>39</v>
      </c>
      <c r="B4" t="s">
        <v>86</v>
      </c>
      <c r="C4">
        <v>300</v>
      </c>
      <c r="D4" s="14" t="s">
        <v>5</v>
      </c>
      <c r="E4" t="s">
        <v>6</v>
      </c>
      <c r="H4" s="6"/>
      <c r="P4" s="10">
        <v>9780008411251</v>
      </c>
      <c r="Q4" s="2" t="s">
        <v>112</v>
      </c>
      <c r="R4" s="2"/>
      <c r="S4" s="3">
        <v>20</v>
      </c>
      <c r="T4" s="3">
        <v>20</v>
      </c>
      <c r="U4" s="3">
        <v>16</v>
      </c>
      <c r="Y4" s="22">
        <v>9780008521684</v>
      </c>
      <c r="Z4" s="4" t="s">
        <v>113</v>
      </c>
      <c r="AA4" s="4"/>
      <c r="AB4" s="5">
        <v>20</v>
      </c>
      <c r="AC4" s="5">
        <v>20</v>
      </c>
      <c r="AD4" s="5">
        <v>16</v>
      </c>
      <c r="AH4" s="8">
        <v>9780008521707</v>
      </c>
      <c r="AI4" t="str">
        <f t="shared" si="0"/>
        <v>covers/izabela-the-valiant.jpg</v>
      </c>
      <c r="AY4" s="34" t="s">
        <v>329</v>
      </c>
      <c r="AZ4" s="40" t="s">
        <v>330</v>
      </c>
      <c r="BA4" t="s">
        <v>332</v>
      </c>
      <c r="BB4" s="17" t="s">
        <v>333</v>
      </c>
      <c r="BC4" t="s">
        <v>331</v>
      </c>
      <c r="BD4" t="s">
        <v>23</v>
      </c>
      <c r="BE4" t="s">
        <v>23</v>
      </c>
      <c r="BG4" t="s">
        <v>30</v>
      </c>
    </row>
    <row r="5" spans="1:62" x14ac:dyDescent="0.25">
      <c r="A5" t="s">
        <v>76</v>
      </c>
      <c r="B5" t="s">
        <v>86</v>
      </c>
      <c r="C5">
        <v>400</v>
      </c>
      <c r="D5" s="14" t="s">
        <v>7</v>
      </c>
      <c r="E5" t="s">
        <v>8</v>
      </c>
      <c r="H5" s="6" t="s">
        <v>111</v>
      </c>
      <c r="J5" s="7">
        <v>44</v>
      </c>
      <c r="K5" s="7">
        <v>45</v>
      </c>
      <c r="L5" s="7">
        <v>38</v>
      </c>
      <c r="P5" s="11">
        <v>9780300252200</v>
      </c>
      <c r="Q5" s="2"/>
      <c r="R5" s="2"/>
      <c r="Y5" s="22"/>
      <c r="Z5" s="4"/>
      <c r="AA5" s="4"/>
      <c r="AI5" t="str">
        <f t="shared" si="0"/>
        <v>covers/light-and-flame.jpg</v>
      </c>
      <c r="AY5" s="34" t="s">
        <v>334</v>
      </c>
      <c r="AZ5" s="38" t="s">
        <v>335</v>
      </c>
      <c r="BD5" t="s">
        <v>23</v>
      </c>
      <c r="BE5" t="s">
        <v>23</v>
      </c>
      <c r="BG5" t="s">
        <v>30</v>
      </c>
    </row>
    <row r="6" spans="1:62" x14ac:dyDescent="0.25">
      <c r="A6" t="s">
        <v>15</v>
      </c>
      <c r="B6" t="s">
        <v>86</v>
      </c>
      <c r="C6">
        <v>500</v>
      </c>
      <c r="D6" s="14" t="s">
        <v>9</v>
      </c>
      <c r="E6" t="s">
        <v>10</v>
      </c>
      <c r="H6" s="6" t="s">
        <v>111</v>
      </c>
      <c r="J6" s="7">
        <v>93</v>
      </c>
      <c r="K6" s="7">
        <v>52</v>
      </c>
      <c r="L6" s="7">
        <v>44</v>
      </c>
      <c r="P6" s="11">
        <v>9781472816030</v>
      </c>
      <c r="Q6" s="2"/>
      <c r="R6" s="2"/>
      <c r="Y6" s="22"/>
      <c r="Z6" s="4" t="s">
        <v>113</v>
      </c>
      <c r="AA6" s="4"/>
      <c r="AB6" s="5">
        <v>58</v>
      </c>
      <c r="AC6" s="5">
        <v>52</v>
      </c>
      <c r="AD6" s="5">
        <v>44</v>
      </c>
      <c r="AH6" s="8">
        <v>9781472816054</v>
      </c>
      <c r="AI6" t="str">
        <f t="shared" si="0"/>
        <v>covers/trail-of-hope.jpg</v>
      </c>
      <c r="AY6" s="34" t="s">
        <v>336</v>
      </c>
      <c r="BD6" t="s">
        <v>23</v>
      </c>
      <c r="BE6" t="s">
        <v>23</v>
      </c>
      <c r="BG6" t="s">
        <v>30</v>
      </c>
    </row>
    <row r="7" spans="1:62" x14ac:dyDescent="0.25">
      <c r="A7" t="s">
        <v>16</v>
      </c>
      <c r="B7" t="s">
        <v>86</v>
      </c>
      <c r="C7">
        <v>600</v>
      </c>
      <c r="D7" s="14" t="s">
        <v>11</v>
      </c>
      <c r="E7" t="s">
        <v>12</v>
      </c>
      <c r="F7" t="s">
        <v>33</v>
      </c>
      <c r="H7" s="6" t="s">
        <v>111</v>
      </c>
      <c r="J7" s="7">
        <v>27</v>
      </c>
      <c r="P7" s="11">
        <v>9781607720041</v>
      </c>
      <c r="Q7" s="2" t="s">
        <v>112</v>
      </c>
      <c r="R7" s="2"/>
      <c r="S7" s="3">
        <v>23</v>
      </c>
      <c r="T7" s="3">
        <v>20</v>
      </c>
      <c r="U7" s="3">
        <v>18</v>
      </c>
      <c r="Y7" s="22">
        <v>9781607720058</v>
      </c>
      <c r="Z7" s="4"/>
      <c r="AA7" s="4"/>
      <c r="AI7" t="str">
        <f t="shared" si="0"/>
        <v>covers/303-squadron.jpg</v>
      </c>
      <c r="AY7" s="34" t="s">
        <v>337</v>
      </c>
      <c r="AZ7" s="38" t="s">
        <v>338</v>
      </c>
      <c r="BD7" t="s">
        <v>23</v>
      </c>
      <c r="BE7" t="s">
        <v>23</v>
      </c>
      <c r="BG7" t="s">
        <v>31</v>
      </c>
    </row>
    <row r="8" spans="1:62" x14ac:dyDescent="0.25">
      <c r="A8" t="s">
        <v>42</v>
      </c>
      <c r="B8" t="s">
        <v>40</v>
      </c>
      <c r="C8">
        <v>750</v>
      </c>
      <c r="D8" s="14" t="s">
        <v>41</v>
      </c>
      <c r="E8" t="s">
        <v>43</v>
      </c>
      <c r="F8" t="s">
        <v>44</v>
      </c>
      <c r="H8" s="6"/>
      <c r="P8" s="11"/>
      <c r="Q8" s="2" t="s">
        <v>112</v>
      </c>
      <c r="R8" s="2"/>
      <c r="S8" s="3">
        <v>18</v>
      </c>
      <c r="T8" s="3">
        <v>16</v>
      </c>
      <c r="U8" s="3">
        <v>14</v>
      </c>
      <c r="Y8" s="22">
        <v>9781590173831</v>
      </c>
      <c r="Z8" s="4" t="s">
        <v>113</v>
      </c>
      <c r="AA8" s="4"/>
      <c r="AB8" s="5">
        <v>18</v>
      </c>
      <c r="AC8" s="5">
        <v>16</v>
      </c>
      <c r="AD8" s="5">
        <v>14</v>
      </c>
      <c r="AH8" s="8">
        <v>9781590173978</v>
      </c>
      <c r="AI8" t="str">
        <f t="shared" si="0"/>
        <v>covers/the-doll.jpg</v>
      </c>
      <c r="AY8" s="34" t="s">
        <v>340</v>
      </c>
      <c r="BD8" t="s">
        <v>23</v>
      </c>
      <c r="BE8" t="s">
        <v>23</v>
      </c>
      <c r="BG8" t="s">
        <v>31</v>
      </c>
    </row>
    <row r="9" spans="1:62" x14ac:dyDescent="0.25">
      <c r="A9" t="s">
        <v>48</v>
      </c>
      <c r="B9" t="s">
        <v>40</v>
      </c>
      <c r="C9">
        <v>250</v>
      </c>
      <c r="D9" s="14" t="s">
        <v>47</v>
      </c>
      <c r="E9" t="s">
        <v>46</v>
      </c>
      <c r="F9" t="s">
        <v>45</v>
      </c>
      <c r="H9" s="6"/>
      <c r="P9" s="11"/>
      <c r="Q9" s="2" t="s">
        <v>112</v>
      </c>
      <c r="R9" s="2"/>
      <c r="S9" s="3">
        <v>19.5</v>
      </c>
      <c r="T9" s="3">
        <v>18</v>
      </c>
      <c r="U9" s="3">
        <v>17</v>
      </c>
      <c r="Y9" s="22">
        <v>9780241524244</v>
      </c>
      <c r="Z9" s="4"/>
      <c r="AA9" s="4"/>
      <c r="AI9" t="str">
        <f t="shared" si="0"/>
        <v>covers/the-peasants.jpg</v>
      </c>
      <c r="AP9" t="s">
        <v>704</v>
      </c>
      <c r="AR9" s="17" t="s">
        <v>705</v>
      </c>
      <c r="AS9" t="s">
        <v>706</v>
      </c>
      <c r="AU9" t="s">
        <v>707</v>
      </c>
      <c r="AV9" t="s">
        <v>708</v>
      </c>
      <c r="AX9" t="s">
        <v>709</v>
      </c>
      <c r="AY9" s="34" t="s">
        <v>339</v>
      </c>
      <c r="BD9" t="s">
        <v>23</v>
      </c>
      <c r="BE9" t="s">
        <v>23</v>
      </c>
      <c r="BG9" t="s">
        <v>31</v>
      </c>
    </row>
    <row r="10" spans="1:62" x14ac:dyDescent="0.25">
      <c r="A10" t="s">
        <v>50</v>
      </c>
      <c r="B10" t="s">
        <v>40</v>
      </c>
      <c r="C10">
        <v>350</v>
      </c>
      <c r="D10" s="14" t="s">
        <v>49</v>
      </c>
      <c r="E10" t="s">
        <v>51</v>
      </c>
      <c r="F10" s="1" t="s">
        <v>52</v>
      </c>
      <c r="G10" s="1"/>
      <c r="H10" s="6"/>
      <c r="I10" s="12"/>
      <c r="P10" s="11"/>
      <c r="Q10" s="2" t="s">
        <v>112</v>
      </c>
      <c r="R10" s="2"/>
      <c r="S10" s="3">
        <v>16.96</v>
      </c>
      <c r="T10" s="3">
        <v>15</v>
      </c>
      <c r="U10" s="3">
        <v>13</v>
      </c>
      <c r="Y10" s="22">
        <v>9781939810007</v>
      </c>
      <c r="Z10" s="4"/>
      <c r="AA10" s="4"/>
      <c r="AI10" t="str">
        <f t="shared" si="0"/>
        <v>covers/pan-tadeusz.jpg</v>
      </c>
      <c r="AP10" t="s">
        <v>693</v>
      </c>
      <c r="AQ10" t="s">
        <v>695</v>
      </c>
      <c r="AR10" t="s">
        <v>694</v>
      </c>
      <c r="AY10" s="34" t="s">
        <v>358</v>
      </c>
      <c r="AZ10" s="38" t="s">
        <v>359</v>
      </c>
      <c r="BD10" t="s">
        <v>23</v>
      </c>
      <c r="BE10" t="s">
        <v>23</v>
      </c>
      <c r="BG10" t="s">
        <v>31</v>
      </c>
    </row>
    <row r="11" spans="1:62" x14ac:dyDescent="0.25">
      <c r="A11" t="s">
        <v>57</v>
      </c>
      <c r="B11" t="s">
        <v>40</v>
      </c>
      <c r="C11">
        <v>450</v>
      </c>
      <c r="D11" s="14" t="s">
        <v>53</v>
      </c>
      <c r="E11" t="s">
        <v>54</v>
      </c>
      <c r="F11" t="s">
        <v>55</v>
      </c>
      <c r="H11" s="6"/>
      <c r="P11" s="11"/>
      <c r="Q11" s="2" t="s">
        <v>112</v>
      </c>
      <c r="R11" s="2"/>
      <c r="S11" s="3">
        <v>20</v>
      </c>
      <c r="T11" s="3">
        <v>19</v>
      </c>
      <c r="U11" s="3">
        <v>17</v>
      </c>
      <c r="Y11" s="22">
        <v>9780875807072</v>
      </c>
      <c r="Z11" s="4"/>
      <c r="AA11" s="4"/>
      <c r="AI11" t="str">
        <f t="shared" si="0"/>
        <v>covers/choucas.jpg</v>
      </c>
      <c r="AY11" s="34" t="s">
        <v>360</v>
      </c>
      <c r="AZ11" s="38" t="s">
        <v>361</v>
      </c>
      <c r="BD11" t="s">
        <v>23</v>
      </c>
      <c r="BE11" t="s">
        <v>23</v>
      </c>
      <c r="BG11" t="s">
        <v>31</v>
      </c>
    </row>
    <row r="12" spans="1:62" x14ac:dyDescent="0.25">
      <c r="A12" t="s">
        <v>62</v>
      </c>
      <c r="B12" t="s">
        <v>215</v>
      </c>
      <c r="C12">
        <v>1050</v>
      </c>
      <c r="D12" s="15" t="s">
        <v>64</v>
      </c>
      <c r="E12" t="s">
        <v>56</v>
      </c>
      <c r="F12" t="s">
        <v>63</v>
      </c>
      <c r="H12" s="6" t="s">
        <v>111</v>
      </c>
      <c r="J12" s="7">
        <v>22</v>
      </c>
      <c r="K12" s="7">
        <v>22</v>
      </c>
      <c r="L12" s="7">
        <v>15</v>
      </c>
      <c r="P12" s="11">
        <v>9798872593621</v>
      </c>
      <c r="Q12" s="2" t="s">
        <v>112</v>
      </c>
      <c r="R12" s="2"/>
      <c r="S12" s="3">
        <v>16</v>
      </c>
      <c r="T12" s="3">
        <v>16</v>
      </c>
      <c r="U12" s="3">
        <v>14</v>
      </c>
      <c r="Y12" s="22">
        <v>9798245149318</v>
      </c>
      <c r="Z12" s="4"/>
      <c r="AA12" s="4"/>
      <c r="AI12" t="str">
        <f t="shared" si="0"/>
        <v>covers/desert-wilderness.jpg</v>
      </c>
      <c r="AY12" s="34" t="s">
        <v>362</v>
      </c>
      <c r="BD12" t="s">
        <v>23</v>
      </c>
      <c r="BE12" t="s">
        <v>23</v>
      </c>
      <c r="BG12" t="s">
        <v>31</v>
      </c>
    </row>
    <row r="13" spans="1:62" x14ac:dyDescent="0.25">
      <c r="A13" t="s">
        <v>61</v>
      </c>
      <c r="B13" t="s">
        <v>99</v>
      </c>
      <c r="C13">
        <v>650</v>
      </c>
      <c r="D13" s="14" t="s">
        <v>58</v>
      </c>
      <c r="E13" t="s">
        <v>59</v>
      </c>
      <c r="F13" t="s">
        <v>60</v>
      </c>
      <c r="H13" s="6" t="s">
        <v>111</v>
      </c>
      <c r="I13" s="7" t="s">
        <v>131</v>
      </c>
      <c r="J13" s="7">
        <v>24</v>
      </c>
      <c r="P13" s="11">
        <v>9789998791732</v>
      </c>
      <c r="Q13" s="2"/>
      <c r="R13" s="2"/>
      <c r="Y13" s="22"/>
      <c r="Z13" s="4"/>
      <c r="AA13" s="4"/>
      <c r="AI13" t="str">
        <f t="shared" si="0"/>
        <v>covers/forest-folk.jpg</v>
      </c>
      <c r="AY13" s="34" t="s">
        <v>363</v>
      </c>
      <c r="BD13" t="s">
        <v>23</v>
      </c>
      <c r="BE13" t="s">
        <v>23</v>
      </c>
      <c r="BG13" t="s">
        <v>31</v>
      </c>
      <c r="BI13" t="s">
        <v>122</v>
      </c>
      <c r="BJ13">
        <v>1</v>
      </c>
    </row>
    <row r="14" spans="1:62" x14ac:dyDescent="0.25">
      <c r="A14" t="s">
        <v>68</v>
      </c>
      <c r="B14" t="s">
        <v>78</v>
      </c>
      <c r="C14">
        <v>100</v>
      </c>
      <c r="D14" s="14" t="s">
        <v>65</v>
      </c>
      <c r="E14" t="s">
        <v>66</v>
      </c>
      <c r="F14" t="s">
        <v>67</v>
      </c>
      <c r="H14" s="6"/>
      <c r="P14" s="11"/>
      <c r="Q14" s="2" t="s">
        <v>112</v>
      </c>
      <c r="R14" s="2" t="s">
        <v>302</v>
      </c>
      <c r="S14" s="3">
        <v>15</v>
      </c>
      <c r="T14" s="3">
        <v>12</v>
      </c>
      <c r="U14" s="3">
        <v>10</v>
      </c>
      <c r="Y14" s="22">
        <v>9781852429454</v>
      </c>
      <c r="Z14" s="4"/>
      <c r="AA14" s="4"/>
      <c r="AI14" t="str">
        <f t="shared" si="0"/>
        <v>covers/castorp.jpg</v>
      </c>
      <c r="AY14" s="34" t="s">
        <v>364</v>
      </c>
      <c r="AZ14" s="38" t="s">
        <v>365</v>
      </c>
      <c r="BD14" t="s">
        <v>23</v>
      </c>
      <c r="BE14" t="s">
        <v>23</v>
      </c>
      <c r="BG14" t="s">
        <v>31</v>
      </c>
    </row>
    <row r="15" spans="1:62" x14ac:dyDescent="0.25">
      <c r="A15" t="s">
        <v>72</v>
      </c>
      <c r="B15" t="s">
        <v>74</v>
      </c>
      <c r="C15">
        <v>100</v>
      </c>
      <c r="D15" s="14" t="s">
        <v>69</v>
      </c>
      <c r="E15" t="s">
        <v>70</v>
      </c>
      <c r="F15" t="s">
        <v>367</v>
      </c>
      <c r="H15" s="6"/>
      <c r="P15" s="11"/>
      <c r="Q15" s="2" t="s">
        <v>112</v>
      </c>
      <c r="R15" s="2"/>
      <c r="S15" s="3">
        <v>14</v>
      </c>
      <c r="T15" s="3">
        <v>14</v>
      </c>
      <c r="U15" s="3">
        <v>12</v>
      </c>
      <c r="Y15" s="22">
        <v>9780679738015</v>
      </c>
      <c r="Z15" s="4"/>
      <c r="AA15" s="4"/>
      <c r="AI15" t="str">
        <f t="shared" si="0"/>
        <v>covers/shah-of-shahs.jpg</v>
      </c>
      <c r="AY15" s="34" t="s">
        <v>366</v>
      </c>
      <c r="AZ15" s="38" t="s">
        <v>368</v>
      </c>
      <c r="BD15" t="s">
        <v>23</v>
      </c>
      <c r="BE15" t="s">
        <v>23</v>
      </c>
      <c r="BG15" t="s">
        <v>31</v>
      </c>
    </row>
    <row r="16" spans="1:62" x14ac:dyDescent="0.25">
      <c r="A16" t="s">
        <v>73</v>
      </c>
      <c r="B16" t="s">
        <v>74</v>
      </c>
      <c r="C16">
        <v>400</v>
      </c>
      <c r="D16" s="14" t="s">
        <v>71</v>
      </c>
      <c r="E16" t="s">
        <v>70</v>
      </c>
      <c r="F16" t="s">
        <v>367</v>
      </c>
      <c r="H16" s="6"/>
      <c r="P16" s="11"/>
      <c r="Q16" s="2" t="s">
        <v>112</v>
      </c>
      <c r="R16" s="2"/>
      <c r="S16" s="3">
        <v>14</v>
      </c>
      <c r="T16" s="3">
        <v>14</v>
      </c>
      <c r="U16" s="3">
        <v>12</v>
      </c>
      <c r="Y16" s="22">
        <v>9780141188034</v>
      </c>
      <c r="Z16" s="4"/>
      <c r="AA16" s="4"/>
      <c r="AI16" t="str">
        <f t="shared" si="0"/>
        <v>covers/the-emperor.jpg</v>
      </c>
      <c r="AY16" s="34" t="s">
        <v>369</v>
      </c>
      <c r="AZ16" s="38" t="s">
        <v>370</v>
      </c>
      <c r="BD16" t="s">
        <v>23</v>
      </c>
      <c r="BE16" t="s">
        <v>23</v>
      </c>
      <c r="BG16" t="s">
        <v>31</v>
      </c>
    </row>
    <row r="17" spans="1:62" x14ac:dyDescent="0.25">
      <c r="A17" t="s">
        <v>125</v>
      </c>
      <c r="B17" t="s">
        <v>74</v>
      </c>
      <c r="C17">
        <v>420</v>
      </c>
      <c r="D17" s="19" t="s">
        <v>75</v>
      </c>
      <c r="E17" t="s">
        <v>70</v>
      </c>
      <c r="F17" t="s">
        <v>367</v>
      </c>
      <c r="H17" s="6"/>
      <c r="P17" s="18"/>
      <c r="Q17" s="2" t="s">
        <v>112</v>
      </c>
      <c r="R17" s="2"/>
      <c r="S17" s="3">
        <v>17</v>
      </c>
      <c r="T17" s="3">
        <v>12</v>
      </c>
      <c r="U17" s="3">
        <v>11</v>
      </c>
      <c r="Y17" s="22">
        <v>9780375726293</v>
      </c>
      <c r="Z17" s="4"/>
      <c r="AA17" s="4"/>
      <c r="AI17" t="str">
        <f>"covers/" &amp; A17 &amp; ".jpg"</f>
        <v>covers/another-day-of-life.jpg</v>
      </c>
      <c r="AP17" t="s">
        <v>652</v>
      </c>
      <c r="AQ17" t="s">
        <v>653</v>
      </c>
      <c r="AR17" t="s">
        <v>651</v>
      </c>
      <c r="AS17" t="s">
        <v>710</v>
      </c>
      <c r="AU17" t="s">
        <v>711</v>
      </c>
      <c r="AV17" t="s">
        <v>712</v>
      </c>
      <c r="AX17" t="s">
        <v>713</v>
      </c>
      <c r="AY17" s="35" t="s">
        <v>376</v>
      </c>
      <c r="AZ17" s="38" t="s">
        <v>692</v>
      </c>
      <c r="BD17" t="s">
        <v>23</v>
      </c>
      <c r="BE17" t="s">
        <v>23</v>
      </c>
      <c r="BG17" t="s">
        <v>31</v>
      </c>
    </row>
    <row r="18" spans="1:62" x14ac:dyDescent="0.25">
      <c r="A18" t="s">
        <v>371</v>
      </c>
      <c r="B18" t="s">
        <v>74</v>
      </c>
      <c r="C18">
        <v>440</v>
      </c>
      <c r="D18" s="14" t="s">
        <v>372</v>
      </c>
      <c r="E18" t="s">
        <v>70</v>
      </c>
      <c r="F18" t="s">
        <v>373</v>
      </c>
      <c r="H18" s="6"/>
      <c r="P18" s="11"/>
      <c r="Q18" s="2" t="s">
        <v>112</v>
      </c>
      <c r="R18" s="2" t="s">
        <v>266</v>
      </c>
      <c r="S18" s="3">
        <v>17</v>
      </c>
      <c r="Y18" s="22">
        <v>9780679779070</v>
      </c>
      <c r="Z18" s="4"/>
      <c r="AA18" s="4"/>
      <c r="AI18" t="str">
        <f>"covers/" &amp; A18 &amp; ".jpg"</f>
        <v>covers/shadow-of-sun.jpg</v>
      </c>
      <c r="AY18" s="34" t="s">
        <v>374</v>
      </c>
      <c r="AZ18" s="38" t="s">
        <v>375</v>
      </c>
      <c r="BD18" t="s">
        <v>23</v>
      </c>
      <c r="BE18" t="s">
        <v>23</v>
      </c>
      <c r="BG18" t="s">
        <v>31</v>
      </c>
    </row>
    <row r="19" spans="1:62" x14ac:dyDescent="0.25">
      <c r="A19" t="s">
        <v>124</v>
      </c>
      <c r="B19" t="s">
        <v>74</v>
      </c>
      <c r="C19">
        <v>800</v>
      </c>
      <c r="D19" s="14" t="s">
        <v>81</v>
      </c>
      <c r="E19" t="s">
        <v>77</v>
      </c>
      <c r="F19" t="s">
        <v>60</v>
      </c>
      <c r="H19" s="6" t="s">
        <v>111</v>
      </c>
      <c r="I19" s="7" t="s">
        <v>131</v>
      </c>
      <c r="J19" s="7">
        <v>25</v>
      </c>
      <c r="K19" s="7">
        <v>24</v>
      </c>
      <c r="L19" s="7">
        <v>20</v>
      </c>
      <c r="P19" s="11">
        <v>9789998793729</v>
      </c>
      <c r="Q19" s="2" t="s">
        <v>112</v>
      </c>
      <c r="R19" s="2" t="str">
        <f>I19</f>
        <v>Mondrala Press</v>
      </c>
      <c r="Y19" s="21">
        <v>9789998795204</v>
      </c>
      <c r="Z19" s="4" t="s">
        <v>113</v>
      </c>
      <c r="AA19" s="4"/>
      <c r="AB19" s="5">
        <v>3</v>
      </c>
      <c r="AC19" s="5">
        <v>3</v>
      </c>
      <c r="AD19" s="5">
        <v>3</v>
      </c>
      <c r="AH19" s="8">
        <v>9789998793729</v>
      </c>
      <c r="AI19" t="str">
        <f>"covers/" &amp; A19 &amp; ".jpg"</f>
        <v>covers/seven-against-thebes.jpg</v>
      </c>
      <c r="AY19" s="34" t="s">
        <v>378</v>
      </c>
      <c r="BD19" t="s">
        <v>23</v>
      </c>
      <c r="BE19" t="s">
        <v>23</v>
      </c>
      <c r="BG19" t="s">
        <v>31</v>
      </c>
      <c r="BI19" t="s">
        <v>642</v>
      </c>
      <c r="BJ19">
        <v>1</v>
      </c>
    </row>
    <row r="20" spans="1:62" x14ac:dyDescent="0.25">
      <c r="A20" t="s">
        <v>84</v>
      </c>
      <c r="B20" t="s">
        <v>74</v>
      </c>
      <c r="C20">
        <v>1000</v>
      </c>
      <c r="D20" s="14" t="s">
        <v>83</v>
      </c>
      <c r="E20" t="s">
        <v>77</v>
      </c>
      <c r="F20" t="s">
        <v>60</v>
      </c>
      <c r="H20" s="6" t="s">
        <v>111</v>
      </c>
      <c r="I20" s="7" t="s">
        <v>131</v>
      </c>
      <c r="J20" s="7">
        <v>25</v>
      </c>
      <c r="K20" s="7">
        <v>24</v>
      </c>
      <c r="L20" s="7">
        <v>20</v>
      </c>
      <c r="P20" s="11">
        <v>9782919820290</v>
      </c>
      <c r="Q20" s="2" t="s">
        <v>112</v>
      </c>
      <c r="R20" s="2" t="str">
        <f t="shared" ref="R20:R24" si="1">I20</f>
        <v>Mondrala Press</v>
      </c>
      <c r="S20" s="3">
        <v>13</v>
      </c>
      <c r="T20" s="3">
        <v>13</v>
      </c>
      <c r="U20" s="3">
        <v>11</v>
      </c>
      <c r="Y20" s="21">
        <v>9782919820306</v>
      </c>
      <c r="Z20" s="4" t="s">
        <v>113</v>
      </c>
      <c r="AA20" s="4"/>
      <c r="AB20" s="5">
        <v>0.99</v>
      </c>
      <c r="AC20" s="5">
        <v>0.99</v>
      </c>
      <c r="AD20" s="5">
        <v>0.99</v>
      </c>
      <c r="AH20" s="8">
        <v>9782919820290</v>
      </c>
      <c r="AI20" t="str">
        <f>"covers/" &amp; A20 &amp; ".jpg"</f>
        <v>covers/last-olympiad.jpg</v>
      </c>
      <c r="AY20" s="34" t="s">
        <v>380</v>
      </c>
      <c r="BD20" t="s">
        <v>23</v>
      </c>
      <c r="BE20" t="s">
        <v>23</v>
      </c>
      <c r="BG20" t="s">
        <v>31</v>
      </c>
      <c r="BI20" t="s">
        <v>642</v>
      </c>
      <c r="BJ20">
        <v>2</v>
      </c>
    </row>
    <row r="21" spans="1:62" x14ac:dyDescent="0.25">
      <c r="A21" t="s">
        <v>80</v>
      </c>
      <c r="B21" t="s">
        <v>74</v>
      </c>
      <c r="C21">
        <v>600</v>
      </c>
      <c r="D21" s="14" t="s">
        <v>79</v>
      </c>
      <c r="E21" t="s">
        <v>77</v>
      </c>
      <c r="F21" t="s">
        <v>60</v>
      </c>
      <c r="H21" s="6" t="s">
        <v>111</v>
      </c>
      <c r="I21" s="7" t="s">
        <v>131</v>
      </c>
      <c r="J21" s="7">
        <v>25</v>
      </c>
      <c r="K21" s="7">
        <v>24</v>
      </c>
      <c r="L21" s="7">
        <v>22</v>
      </c>
      <c r="P21" s="11">
        <v>9782919820382</v>
      </c>
      <c r="Q21" s="2" t="s">
        <v>112</v>
      </c>
      <c r="R21" s="2" t="str">
        <f t="shared" si="1"/>
        <v>Mondrala Press</v>
      </c>
      <c r="S21" s="3">
        <v>17</v>
      </c>
      <c r="T21" s="3">
        <v>17</v>
      </c>
      <c r="U21" s="3">
        <v>15</v>
      </c>
      <c r="Y21" s="21">
        <v>9782919820382</v>
      </c>
      <c r="Z21" s="4" t="s">
        <v>113</v>
      </c>
      <c r="AA21" s="4"/>
      <c r="AB21" s="5">
        <v>10</v>
      </c>
      <c r="AC21" s="5">
        <v>10</v>
      </c>
      <c r="AD21" s="5">
        <v>9</v>
      </c>
      <c r="AH21" s="8">
        <v>9782919820375</v>
      </c>
      <c r="AI21" t="str">
        <f t="shared" si="0"/>
        <v>covers/meeting-in-oea.jpg</v>
      </c>
      <c r="AY21" s="34" t="s">
        <v>377</v>
      </c>
      <c r="BD21" t="s">
        <v>23</v>
      </c>
      <c r="BE21" t="s">
        <v>23</v>
      </c>
      <c r="BG21" t="s">
        <v>31</v>
      </c>
      <c r="BI21" t="s">
        <v>642</v>
      </c>
      <c r="BJ21">
        <v>3</v>
      </c>
    </row>
    <row r="22" spans="1:62" x14ac:dyDescent="0.25">
      <c r="A22" t="s">
        <v>1024</v>
      </c>
      <c r="B22" t="s">
        <v>74</v>
      </c>
      <c r="C22">
        <v>621</v>
      </c>
      <c r="D22" s="14" t="s">
        <v>1025</v>
      </c>
      <c r="E22" t="s">
        <v>77</v>
      </c>
      <c r="F22" t="s">
        <v>60</v>
      </c>
      <c r="H22" s="6" t="s">
        <v>111</v>
      </c>
      <c r="I22" s="7" t="s">
        <v>131</v>
      </c>
      <c r="J22" s="7">
        <v>25</v>
      </c>
      <c r="K22" s="7">
        <v>24</v>
      </c>
      <c r="L22" s="7">
        <v>22</v>
      </c>
      <c r="P22" s="11">
        <v>9782919820665</v>
      </c>
      <c r="Q22" s="2" t="s">
        <v>112</v>
      </c>
      <c r="R22" s="2" t="str">
        <f t="shared" si="1"/>
        <v>Mondrala Press</v>
      </c>
      <c r="S22" s="3">
        <v>18</v>
      </c>
      <c r="T22" s="3">
        <v>17</v>
      </c>
      <c r="U22" s="3">
        <v>15</v>
      </c>
      <c r="Y22" s="21">
        <v>9782919820658</v>
      </c>
      <c r="Z22" s="4" t="s">
        <v>113</v>
      </c>
      <c r="AA22" s="4" t="str">
        <f>R22</f>
        <v>Mondrala Press</v>
      </c>
      <c r="AB22" s="5">
        <v>10</v>
      </c>
      <c r="AC22" s="5">
        <v>10</v>
      </c>
      <c r="AD22" s="5">
        <v>10</v>
      </c>
      <c r="AH22" s="8">
        <v>9782919820641</v>
      </c>
      <c r="AI22" t="str">
        <f t="shared" si="0"/>
        <v>covers/herod-king.jpg</v>
      </c>
      <c r="AY22" s="34" t="s">
        <v>1029</v>
      </c>
      <c r="BE22" t="s">
        <v>23</v>
      </c>
      <c r="BG22" t="s">
        <v>31</v>
      </c>
      <c r="BJ22">
        <v>4</v>
      </c>
    </row>
    <row r="23" spans="1:62" x14ac:dyDescent="0.25">
      <c r="A23" t="s">
        <v>1026</v>
      </c>
      <c r="B23" t="s">
        <v>74</v>
      </c>
      <c r="C23">
        <v>622</v>
      </c>
      <c r="D23" s="14" t="s">
        <v>1027</v>
      </c>
      <c r="E23" t="s">
        <v>77</v>
      </c>
      <c r="F23" t="s">
        <v>60</v>
      </c>
      <c r="H23" s="6" t="s">
        <v>111</v>
      </c>
      <c r="I23" s="7" t="s">
        <v>131</v>
      </c>
      <c r="J23" s="7">
        <v>28</v>
      </c>
      <c r="K23" s="7">
        <v>27</v>
      </c>
      <c r="L23" s="7">
        <v>25</v>
      </c>
      <c r="P23" s="11">
        <v>9782919820535</v>
      </c>
      <c r="Q23" s="2" t="s">
        <v>112</v>
      </c>
      <c r="R23" s="2" t="str">
        <f t="shared" si="1"/>
        <v>Mondrala Press</v>
      </c>
      <c r="S23" s="3">
        <v>15</v>
      </c>
      <c r="T23" s="3">
        <v>15</v>
      </c>
      <c r="U23" s="3">
        <v>13</v>
      </c>
      <c r="Y23" s="21">
        <v>9782919820528</v>
      </c>
      <c r="Z23" s="4" t="s">
        <v>113</v>
      </c>
      <c r="AA23" s="4" t="str">
        <f t="shared" ref="AA23:AA24" si="2">R23</f>
        <v>Mondrala Press</v>
      </c>
      <c r="AB23" s="5">
        <v>5</v>
      </c>
      <c r="AC23" s="5">
        <v>5</v>
      </c>
      <c r="AD23" s="5">
        <v>4</v>
      </c>
      <c r="AH23" s="8">
        <v>9782919820511</v>
      </c>
      <c r="AI23" t="str">
        <f t="shared" si="0"/>
        <v>covers/titus-berenice.jpg</v>
      </c>
      <c r="AY23" s="34" t="s">
        <v>1028</v>
      </c>
      <c r="BE23" t="s">
        <v>23</v>
      </c>
      <c r="BG23" t="s">
        <v>31</v>
      </c>
      <c r="BJ23">
        <v>5</v>
      </c>
    </row>
    <row r="24" spans="1:62" x14ac:dyDescent="0.25">
      <c r="A24" t="s">
        <v>1030</v>
      </c>
      <c r="B24" t="s">
        <v>74</v>
      </c>
      <c r="C24">
        <v>623</v>
      </c>
      <c r="D24" s="15" t="s">
        <v>1031</v>
      </c>
      <c r="E24" t="s">
        <v>77</v>
      </c>
      <c r="F24" t="s">
        <v>60</v>
      </c>
      <c r="H24" s="6" t="s">
        <v>111</v>
      </c>
      <c r="I24" s="7" t="s">
        <v>131</v>
      </c>
      <c r="J24" s="7">
        <v>28</v>
      </c>
      <c r="K24" s="7">
        <v>27</v>
      </c>
      <c r="L24" s="7">
        <v>22</v>
      </c>
      <c r="P24" s="10">
        <v>9782919820696</v>
      </c>
      <c r="Q24" s="2" t="s">
        <v>112</v>
      </c>
      <c r="R24" s="2" t="str">
        <f t="shared" si="1"/>
        <v>Mondrala Press</v>
      </c>
      <c r="S24" s="3">
        <v>17</v>
      </c>
      <c r="T24" s="3">
        <v>17</v>
      </c>
      <c r="U24" s="3">
        <v>15</v>
      </c>
      <c r="Y24" s="21">
        <v>9782919820689</v>
      </c>
      <c r="Z24" s="4" t="s">
        <v>113</v>
      </c>
      <c r="AA24" s="4" t="str">
        <f t="shared" si="2"/>
        <v>Mondrala Press</v>
      </c>
      <c r="AB24" s="5">
        <v>10</v>
      </c>
      <c r="AC24" s="5">
        <v>10</v>
      </c>
      <c r="AD24" s="5">
        <v>8</v>
      </c>
      <c r="AH24" s="8">
        <v>9782919820672</v>
      </c>
      <c r="AI24" t="str">
        <f t="shared" si="0"/>
        <v>covers/rome-jerusalem.jpg</v>
      </c>
      <c r="AY24" s="34" t="s">
        <v>1032</v>
      </c>
      <c r="BE24" t="s">
        <v>23</v>
      </c>
      <c r="BG24" t="s">
        <v>31</v>
      </c>
      <c r="BJ24">
        <v>6</v>
      </c>
    </row>
    <row r="25" spans="1:62" x14ac:dyDescent="0.25">
      <c r="A25" t="s">
        <v>1033</v>
      </c>
      <c r="B25" t="s">
        <v>74</v>
      </c>
      <c r="C25">
        <v>1075</v>
      </c>
      <c r="D25" s="15" t="s">
        <v>1034</v>
      </c>
      <c r="E25" t="s">
        <v>77</v>
      </c>
      <c r="F25" t="s">
        <v>60</v>
      </c>
      <c r="H25" s="6" t="s">
        <v>111</v>
      </c>
      <c r="I25" s="7" t="s">
        <v>131</v>
      </c>
      <c r="J25" s="7">
        <v>28</v>
      </c>
      <c r="K25" s="7">
        <v>27</v>
      </c>
      <c r="L25" s="7">
        <v>22</v>
      </c>
      <c r="P25" s="10">
        <v>9782919820757</v>
      </c>
      <c r="Q25" s="2" t="s">
        <v>112</v>
      </c>
      <c r="R25" s="2" t="str">
        <f t="shared" ref="R25:R26" si="3">I25</f>
        <v>Mondrala Press</v>
      </c>
      <c r="S25" s="3">
        <v>17</v>
      </c>
      <c r="T25" s="3">
        <v>17</v>
      </c>
      <c r="U25" s="3">
        <v>15</v>
      </c>
      <c r="Y25" s="21">
        <v>9782919820740</v>
      </c>
      <c r="Z25" s="4" t="s">
        <v>113</v>
      </c>
      <c r="AA25" s="4" t="str">
        <f t="shared" ref="AA25" si="4">R25</f>
        <v>Mondrala Press</v>
      </c>
      <c r="AB25" s="5">
        <v>10</v>
      </c>
      <c r="AC25" s="5">
        <v>10</v>
      </c>
      <c r="AD25" s="5">
        <v>8</v>
      </c>
      <c r="AH25" s="8">
        <v>9782919820733</v>
      </c>
      <c r="AI25" t="str">
        <f t="shared" si="0"/>
        <v>covers/constantine.jpg</v>
      </c>
      <c r="AY25" s="34" t="s">
        <v>1035</v>
      </c>
      <c r="BE25" t="s">
        <v>23</v>
      </c>
      <c r="BG25" t="s">
        <v>31</v>
      </c>
      <c r="BJ25">
        <v>7</v>
      </c>
    </row>
    <row r="26" spans="1:62" x14ac:dyDescent="0.25">
      <c r="A26" t="s">
        <v>1036</v>
      </c>
      <c r="B26" t="s">
        <v>74</v>
      </c>
      <c r="C26">
        <v>1076</v>
      </c>
      <c r="D26" s="15" t="s">
        <v>1037</v>
      </c>
      <c r="E26" t="s">
        <v>77</v>
      </c>
      <c r="F26" t="s">
        <v>60</v>
      </c>
      <c r="H26" s="6" t="s">
        <v>111</v>
      </c>
      <c r="I26" s="7" t="s">
        <v>131</v>
      </c>
      <c r="J26" s="7">
        <v>28</v>
      </c>
      <c r="K26" s="7">
        <v>27</v>
      </c>
      <c r="L26" s="7">
        <v>22</v>
      </c>
      <c r="P26" s="10">
        <v>9782919820788</v>
      </c>
      <c r="Q26" s="2" t="s">
        <v>112</v>
      </c>
      <c r="R26" s="2" t="str">
        <f t="shared" si="3"/>
        <v>Mondrala Press</v>
      </c>
      <c r="S26" s="3">
        <v>17</v>
      </c>
      <c r="T26" s="3">
        <v>17</v>
      </c>
      <c r="U26" s="3">
        <v>15</v>
      </c>
      <c r="Y26" s="21">
        <v>9782919820771</v>
      </c>
      <c r="Z26" s="4" t="s">
        <v>113</v>
      </c>
      <c r="AA26" s="4" t="str">
        <f t="shared" ref="AA26" si="5">R26</f>
        <v>Mondrala Press</v>
      </c>
      <c r="AB26" s="5">
        <v>10</v>
      </c>
      <c r="AC26" s="5">
        <v>10</v>
      </c>
      <c r="AD26" s="5">
        <v>8</v>
      </c>
      <c r="AH26" s="8">
        <v>9782919820764</v>
      </c>
      <c r="AI26" t="str">
        <f t="shared" si="0"/>
        <v>covers/devils-brood.jpg</v>
      </c>
      <c r="AY26" s="34" t="s">
        <v>1038</v>
      </c>
      <c r="BE26" t="s">
        <v>23</v>
      </c>
      <c r="BG26" t="s">
        <v>31</v>
      </c>
      <c r="BJ26">
        <v>8</v>
      </c>
    </row>
    <row r="27" spans="1:62" x14ac:dyDescent="0.25">
      <c r="A27" t="s">
        <v>1041</v>
      </c>
      <c r="B27" t="s">
        <v>74</v>
      </c>
      <c r="C27">
        <v>1077</v>
      </c>
      <c r="D27" s="14" t="s">
        <v>82</v>
      </c>
      <c r="E27" t="s">
        <v>77</v>
      </c>
      <c r="F27" t="s">
        <v>60</v>
      </c>
      <c r="H27" s="6" t="s">
        <v>111</v>
      </c>
      <c r="I27" s="7" t="s">
        <v>131</v>
      </c>
      <c r="J27" s="7">
        <v>28</v>
      </c>
      <c r="K27" s="7">
        <v>27</v>
      </c>
      <c r="L27" s="7">
        <v>22</v>
      </c>
      <c r="P27" s="11">
        <v>9782919840052</v>
      </c>
      <c r="Q27" s="2" t="s">
        <v>112</v>
      </c>
      <c r="R27" s="2" t="str">
        <f>I27</f>
        <v>Mondrala Press</v>
      </c>
      <c r="S27" s="3">
        <v>19</v>
      </c>
      <c r="T27" s="3">
        <v>18</v>
      </c>
      <c r="U27" s="3">
        <v>16</v>
      </c>
      <c r="Y27" s="21">
        <v>9782919840052</v>
      </c>
      <c r="Z27" s="4" t="s">
        <v>113</v>
      </c>
      <c r="AA27" s="4" t="str">
        <f>R27</f>
        <v>Mondrala Press</v>
      </c>
      <c r="AB27" s="5">
        <v>10</v>
      </c>
      <c r="AC27" s="5">
        <v>10</v>
      </c>
      <c r="AD27" s="5">
        <v>8</v>
      </c>
      <c r="AH27" s="8">
        <v>9782919840069</v>
      </c>
      <c r="AI27" t="str">
        <f t="shared" si="0"/>
        <v>covers/enmperor-julian.jpg</v>
      </c>
      <c r="AY27" s="34" t="s">
        <v>379</v>
      </c>
      <c r="BD27" t="s">
        <v>23</v>
      </c>
      <c r="BE27" t="s">
        <v>23</v>
      </c>
      <c r="BG27" t="s">
        <v>31</v>
      </c>
      <c r="BI27" t="s">
        <v>642</v>
      </c>
      <c r="BJ27">
        <v>9</v>
      </c>
    </row>
    <row r="28" spans="1:62" x14ac:dyDescent="0.25">
      <c r="A28" t="s">
        <v>87</v>
      </c>
      <c r="B28" t="s">
        <v>301</v>
      </c>
      <c r="C28">
        <v>600</v>
      </c>
      <c r="D28" s="14" t="s">
        <v>88</v>
      </c>
      <c r="E28" t="s">
        <v>89</v>
      </c>
      <c r="F28" t="s">
        <v>90</v>
      </c>
      <c r="H28" s="6"/>
      <c r="P28" s="11"/>
      <c r="Q28" s="2" t="s">
        <v>112</v>
      </c>
      <c r="R28" s="2"/>
      <c r="S28" s="3">
        <v>10</v>
      </c>
      <c r="T28" s="3">
        <v>9</v>
      </c>
      <c r="U28" s="3">
        <v>8</v>
      </c>
      <c r="Y28" s="21">
        <v>9780156027601</v>
      </c>
      <c r="Z28" s="4"/>
      <c r="AA28" s="4"/>
      <c r="AI28" t="str">
        <f t="shared" si="0"/>
        <v>covers/solaris.jpg</v>
      </c>
      <c r="AP28" t="s">
        <v>697</v>
      </c>
      <c r="AQ28" t="s">
        <v>696</v>
      </c>
      <c r="AR28" t="s">
        <v>698</v>
      </c>
      <c r="AS28" t="s">
        <v>699</v>
      </c>
      <c r="AU28" t="s">
        <v>700</v>
      </c>
      <c r="AV28" t="s">
        <v>701</v>
      </c>
      <c r="AW28" t="s">
        <v>703</v>
      </c>
      <c r="AX28" t="s">
        <v>702</v>
      </c>
      <c r="AY28" s="34" t="s">
        <v>381</v>
      </c>
      <c r="BD28" t="s">
        <v>23</v>
      </c>
      <c r="BE28" t="s">
        <v>23</v>
      </c>
      <c r="BG28" t="s">
        <v>31</v>
      </c>
    </row>
    <row r="29" spans="1:62" x14ac:dyDescent="0.25">
      <c r="A29" t="s">
        <v>91</v>
      </c>
      <c r="B29" t="s">
        <v>301</v>
      </c>
      <c r="C29">
        <v>200</v>
      </c>
      <c r="D29" s="14" t="s">
        <v>92</v>
      </c>
      <c r="E29" t="s">
        <v>89</v>
      </c>
      <c r="F29" t="s">
        <v>93</v>
      </c>
      <c r="H29" s="6"/>
      <c r="P29" s="11"/>
      <c r="Q29" s="2" t="s">
        <v>112</v>
      </c>
      <c r="R29" s="2"/>
      <c r="S29" s="3">
        <v>17</v>
      </c>
      <c r="T29" s="3">
        <v>15</v>
      </c>
      <c r="U29" s="3">
        <v>12</v>
      </c>
      <c r="Y29" s="21">
        <v>9780156306300</v>
      </c>
      <c r="Z29" s="4"/>
      <c r="AA29" s="4"/>
      <c r="AI29" t="str">
        <f t="shared" si="0"/>
        <v>covers/fiasco.jpg</v>
      </c>
      <c r="AY29" s="34" t="s">
        <v>382</v>
      </c>
      <c r="BD29" t="s">
        <v>23</v>
      </c>
      <c r="BE29" t="s">
        <v>23</v>
      </c>
      <c r="BG29" t="s">
        <v>31</v>
      </c>
    </row>
    <row r="30" spans="1:62" x14ac:dyDescent="0.25">
      <c r="A30" t="s">
        <v>123</v>
      </c>
      <c r="B30" t="s">
        <v>301</v>
      </c>
      <c r="C30">
        <v>600</v>
      </c>
      <c r="D30" s="14" t="s">
        <v>94</v>
      </c>
      <c r="E30" t="s">
        <v>89</v>
      </c>
      <c r="F30" t="s">
        <v>52</v>
      </c>
      <c r="H30" s="6"/>
      <c r="P30" s="11"/>
      <c r="Q30" s="2" t="s">
        <v>112</v>
      </c>
      <c r="R30" s="2"/>
      <c r="S30" s="3">
        <v>17</v>
      </c>
      <c r="T30" s="3">
        <v>16</v>
      </c>
      <c r="U30" s="3">
        <v>13</v>
      </c>
      <c r="Y30" s="21">
        <v>9780262357685</v>
      </c>
      <c r="Z30" s="4"/>
      <c r="AA30" s="4"/>
      <c r="AI30" t="str">
        <f t="shared" si="0"/>
        <v>covers/the-invincible.jpg</v>
      </c>
      <c r="AY30" s="34" t="s">
        <v>383</v>
      </c>
      <c r="BD30" t="s">
        <v>23</v>
      </c>
      <c r="BE30" t="s">
        <v>23</v>
      </c>
      <c r="BG30" t="s">
        <v>31</v>
      </c>
    </row>
    <row r="31" spans="1:62" x14ac:dyDescent="0.25">
      <c r="A31" t="s">
        <v>107</v>
      </c>
      <c r="B31" t="s">
        <v>78</v>
      </c>
      <c r="C31">
        <v>100</v>
      </c>
      <c r="D31" s="14" t="s">
        <v>95</v>
      </c>
      <c r="E31" t="s">
        <v>59</v>
      </c>
      <c r="F31" t="s">
        <v>60</v>
      </c>
      <c r="H31" s="6" t="s">
        <v>111</v>
      </c>
      <c r="I31" s="7" t="s">
        <v>131</v>
      </c>
      <c r="J31" s="7">
        <v>24</v>
      </c>
      <c r="K31" s="7">
        <v>24</v>
      </c>
      <c r="L31" s="7">
        <v>21</v>
      </c>
      <c r="P31" s="11">
        <v>9782919840090</v>
      </c>
      <c r="Q31" s="2" t="s">
        <v>112</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122</v>
      </c>
      <c r="BJ31">
        <v>3</v>
      </c>
    </row>
    <row r="32" spans="1:62" x14ac:dyDescent="0.25">
      <c r="A32" t="s">
        <v>1039</v>
      </c>
      <c r="B32" t="s">
        <v>78</v>
      </c>
      <c r="C32">
        <v>420</v>
      </c>
      <c r="D32" s="14" t="s">
        <v>1040</v>
      </c>
      <c r="E32" t="s">
        <v>59</v>
      </c>
      <c r="F32" t="s">
        <v>60</v>
      </c>
      <c r="H32" s="6" t="s">
        <v>111</v>
      </c>
      <c r="I32" s="7" t="s">
        <v>131</v>
      </c>
      <c r="J32" s="7">
        <v>24</v>
      </c>
      <c r="K32" s="7">
        <v>24</v>
      </c>
      <c r="L32" s="7">
        <v>21</v>
      </c>
      <c r="P32" s="11">
        <v>9782919820146</v>
      </c>
      <c r="Q32" s="2"/>
      <c r="R32" s="2"/>
      <c r="S32" s="3">
        <v>16</v>
      </c>
      <c r="T32" s="3">
        <v>15</v>
      </c>
      <c r="U32" s="3">
        <v>13</v>
      </c>
      <c r="Y32" s="21">
        <v>9782919820139</v>
      </c>
      <c r="Z32" s="4" t="str">
        <f>Z31</f>
        <v>Ebook</v>
      </c>
      <c r="AA32" s="4" t="str">
        <f>AA31</f>
        <v>Mondrala Press</v>
      </c>
      <c r="AB32" s="5">
        <v>10</v>
      </c>
      <c r="AC32" s="5">
        <v>10</v>
      </c>
      <c r="AD32" s="5">
        <v>10</v>
      </c>
      <c r="AH32" s="8">
        <v>9782919820078</v>
      </c>
      <c r="AI32" t="str">
        <f t="shared" si="0"/>
        <v>covers/anima-vilis.jpg</v>
      </c>
    </row>
    <row r="33" spans="1:62" x14ac:dyDescent="0.25">
      <c r="A33" t="s">
        <v>96</v>
      </c>
      <c r="B33" t="s">
        <v>215</v>
      </c>
      <c r="C33">
        <v>100</v>
      </c>
      <c r="D33" s="14" t="s">
        <v>100</v>
      </c>
      <c r="E33" t="s">
        <v>102</v>
      </c>
      <c r="F33" t="s">
        <v>60</v>
      </c>
      <c r="H33" s="6" t="s">
        <v>111</v>
      </c>
      <c r="I33" s="7" t="s">
        <v>131</v>
      </c>
      <c r="J33" s="7">
        <v>24</v>
      </c>
      <c r="K33" s="7">
        <v>24</v>
      </c>
      <c r="L33" s="7">
        <v>20</v>
      </c>
      <c r="P33" s="11">
        <v>9789998791671</v>
      </c>
      <c r="Q33" s="2" t="s">
        <v>112</v>
      </c>
      <c r="R33" s="2"/>
      <c r="S33" s="3">
        <v>17</v>
      </c>
      <c r="T33" s="3">
        <v>16</v>
      </c>
      <c r="U33" s="3">
        <v>15</v>
      </c>
      <c r="Y33" s="21">
        <v>9789998791664</v>
      </c>
      <c r="Z33" s="4" t="str">
        <f>Z32</f>
        <v>Ebook</v>
      </c>
      <c r="AA33" s="4" t="str">
        <f>AA32</f>
        <v>Mondrala Press</v>
      </c>
      <c r="AB33" s="5">
        <v>10</v>
      </c>
      <c r="AC33" s="5">
        <v>10</v>
      </c>
      <c r="AD33" s="5">
        <v>10</v>
      </c>
      <c r="AH33" s="8">
        <v>9789998791633</v>
      </c>
      <c r="AI33" t="str">
        <f t="shared" si="0"/>
        <v>covers/melicles.jpg</v>
      </c>
      <c r="AY33" s="34" t="s">
        <v>205</v>
      </c>
      <c r="AZ33" s="38" t="s">
        <v>208</v>
      </c>
      <c r="BA33" t="s">
        <v>184</v>
      </c>
      <c r="BB33" t="s">
        <v>209</v>
      </c>
      <c r="BC33" t="s">
        <v>210</v>
      </c>
      <c r="BD33" t="s">
        <v>23</v>
      </c>
      <c r="BE33" t="s">
        <v>23</v>
      </c>
      <c r="BG33" t="s">
        <v>31</v>
      </c>
    </row>
    <row r="34" spans="1:62" x14ac:dyDescent="0.25">
      <c r="A34" t="s">
        <v>97</v>
      </c>
      <c r="B34" t="s">
        <v>215</v>
      </c>
      <c r="C34">
        <v>600</v>
      </c>
      <c r="D34" s="14" t="s">
        <v>101</v>
      </c>
      <c r="E34" t="s">
        <v>102</v>
      </c>
      <c r="F34" t="s">
        <v>60</v>
      </c>
      <c r="H34" s="6" t="s">
        <v>111</v>
      </c>
      <c r="I34" s="7" t="s">
        <v>131</v>
      </c>
      <c r="J34" s="7">
        <v>24</v>
      </c>
      <c r="K34" s="7">
        <v>24</v>
      </c>
      <c r="L34" s="7">
        <v>20</v>
      </c>
      <c r="P34" s="11">
        <v>9789998791794</v>
      </c>
      <c r="Q34" s="2"/>
      <c r="R34" s="2"/>
      <c r="Z34" s="4" t="str">
        <f>Z33</f>
        <v>Ebook</v>
      </c>
      <c r="AA34" s="4" t="str">
        <f>AA33</f>
        <v>Mondrala Press</v>
      </c>
      <c r="AB34" s="5">
        <v>10</v>
      </c>
      <c r="AC34" s="5">
        <v>10</v>
      </c>
      <c r="AD34" s="5">
        <v>10</v>
      </c>
      <c r="AH34" s="8">
        <v>9789998791695</v>
      </c>
      <c r="AI34" t="str">
        <f t="shared" si="0"/>
        <v>covers/diossos.jpg</v>
      </c>
      <c r="AY34" s="34" t="s">
        <v>384</v>
      </c>
      <c r="BD34" t="s">
        <v>23</v>
      </c>
      <c r="BE34" t="s">
        <v>23</v>
      </c>
      <c r="BG34" t="s">
        <v>31</v>
      </c>
    </row>
    <row r="35" spans="1:62" x14ac:dyDescent="0.25">
      <c r="A35" t="s">
        <v>106</v>
      </c>
      <c r="B35" t="s">
        <v>98</v>
      </c>
      <c r="C35">
        <v>220</v>
      </c>
      <c r="D35" s="14" t="s">
        <v>104</v>
      </c>
      <c r="E35" t="s">
        <v>12</v>
      </c>
      <c r="F35" t="s">
        <v>60</v>
      </c>
      <c r="H35" s="6" t="s">
        <v>111</v>
      </c>
      <c r="I35" s="7" t="s">
        <v>131</v>
      </c>
      <c r="J35" s="7">
        <v>21</v>
      </c>
      <c r="K35" s="7">
        <v>20</v>
      </c>
      <c r="L35" s="7">
        <v>18</v>
      </c>
      <c r="P35" s="10">
        <v>9782919820481</v>
      </c>
      <c r="Q35" s="2"/>
      <c r="R35" s="2"/>
      <c r="Z35" s="4"/>
      <c r="AA35" s="4"/>
      <c r="AI35" t="str">
        <f t="shared" si="0"/>
        <v>covers/white-jaguar-1.jpg</v>
      </c>
      <c r="AY35" s="34" t="s">
        <v>386</v>
      </c>
      <c r="BD35" t="s">
        <v>23</v>
      </c>
      <c r="BE35" t="s">
        <v>23</v>
      </c>
      <c r="BG35" t="s">
        <v>31</v>
      </c>
      <c r="BI35" t="s">
        <v>104</v>
      </c>
      <c r="BJ35">
        <v>1</v>
      </c>
    </row>
    <row r="36" spans="1:62" x14ac:dyDescent="0.25">
      <c r="A36" t="s">
        <v>105</v>
      </c>
      <c r="B36" t="s">
        <v>98</v>
      </c>
      <c r="C36">
        <v>200</v>
      </c>
      <c r="D36" s="14" t="s">
        <v>103</v>
      </c>
      <c r="E36" t="s">
        <v>103</v>
      </c>
      <c r="F36" t="s">
        <v>60</v>
      </c>
      <c r="H36" s="6" t="s">
        <v>111</v>
      </c>
      <c r="I36" s="7" t="s">
        <v>131</v>
      </c>
      <c r="J36" s="7">
        <v>21</v>
      </c>
      <c r="K36" s="7">
        <v>20</v>
      </c>
      <c r="L36" s="7">
        <v>18</v>
      </c>
      <c r="P36" s="10">
        <v>9782919820153</v>
      </c>
      <c r="Q36" s="2"/>
      <c r="R36" s="2"/>
      <c r="Z36" s="4"/>
      <c r="AA36" s="4"/>
      <c r="AI36" t="str">
        <f t="shared" si="0"/>
        <v>covers/ships-minos-1.jpg</v>
      </c>
      <c r="AY36" s="34" t="s">
        <v>385</v>
      </c>
      <c r="BD36" t="s">
        <v>23</v>
      </c>
      <c r="BE36" t="s">
        <v>23</v>
      </c>
      <c r="BG36" t="s">
        <v>31</v>
      </c>
      <c r="BI36" t="s">
        <v>103</v>
      </c>
      <c r="BJ36">
        <v>1</v>
      </c>
    </row>
    <row r="37" spans="1:62" x14ac:dyDescent="0.25">
      <c r="A37" t="s">
        <v>118</v>
      </c>
      <c r="B37" t="s">
        <v>40</v>
      </c>
      <c r="C37">
        <v>250</v>
      </c>
      <c r="D37" s="14" t="s">
        <v>115</v>
      </c>
      <c r="E37" t="s">
        <v>114</v>
      </c>
      <c r="F37" t="s">
        <v>60</v>
      </c>
      <c r="H37" s="6" t="s">
        <v>111</v>
      </c>
      <c r="I37" s="7" t="s">
        <v>131</v>
      </c>
      <c r="J37" s="7">
        <v>24</v>
      </c>
      <c r="P37" s="11">
        <v>9789998793781</v>
      </c>
      <c r="Q37" s="2" t="s">
        <v>112</v>
      </c>
      <c r="R37" s="2" t="s">
        <v>131</v>
      </c>
      <c r="S37" s="3">
        <v>16</v>
      </c>
      <c r="Y37" s="21">
        <v>9789998793774</v>
      </c>
      <c r="Z37" s="4" t="s">
        <v>113</v>
      </c>
      <c r="AA37" s="4" t="s">
        <v>131</v>
      </c>
      <c r="AB37" s="5">
        <v>10</v>
      </c>
      <c r="AH37" s="8">
        <v>9789998793750</v>
      </c>
      <c r="AI37" t="str">
        <f t="shared" si="0"/>
        <v>covers/divine-julius.jpg</v>
      </c>
      <c r="AY37" s="34" t="s">
        <v>387</v>
      </c>
      <c r="BD37" t="s">
        <v>23</v>
      </c>
      <c r="BE37" t="s">
        <v>23</v>
      </c>
      <c r="BG37" t="s">
        <v>31</v>
      </c>
      <c r="BI37" t="s">
        <v>121</v>
      </c>
      <c r="BJ37">
        <v>1</v>
      </c>
    </row>
    <row r="38" spans="1:62" x14ac:dyDescent="0.25">
      <c r="A38" t="s">
        <v>119</v>
      </c>
      <c r="B38" t="s">
        <v>40</v>
      </c>
      <c r="C38">
        <v>450</v>
      </c>
      <c r="D38" s="14" t="s">
        <v>116</v>
      </c>
      <c r="E38" t="s">
        <v>114</v>
      </c>
      <c r="F38" t="s">
        <v>60</v>
      </c>
      <c r="H38" s="6" t="s">
        <v>111</v>
      </c>
      <c r="I38" s="7" t="s">
        <v>131</v>
      </c>
      <c r="J38" s="7">
        <v>25</v>
      </c>
      <c r="P38" s="11">
        <v>9782919820047</v>
      </c>
      <c r="Q38" s="2" t="s">
        <v>112</v>
      </c>
      <c r="R38" s="2" t="s">
        <v>131</v>
      </c>
      <c r="S38" s="3">
        <v>17</v>
      </c>
      <c r="Y38" s="21">
        <v>9782919820054</v>
      </c>
      <c r="Z38" s="4" t="s">
        <v>113</v>
      </c>
      <c r="AA38" s="4" t="s">
        <v>131</v>
      </c>
      <c r="AB38" s="5">
        <v>10</v>
      </c>
      <c r="AH38" s="8">
        <v>9782919820016</v>
      </c>
      <c r="AI38" t="str">
        <f t="shared" si="0"/>
        <v>covers/naso-the-poet.jpg</v>
      </c>
      <c r="AY38" s="34" t="s">
        <v>388</v>
      </c>
      <c r="BD38" t="s">
        <v>23</v>
      </c>
      <c r="BE38" t="s">
        <v>23</v>
      </c>
      <c r="BG38" t="s">
        <v>31</v>
      </c>
      <c r="BI38" t="s">
        <v>121</v>
      </c>
      <c r="BJ38">
        <v>2</v>
      </c>
    </row>
    <row r="39" spans="1:62" x14ac:dyDescent="0.25">
      <c r="A39" t="s">
        <v>120</v>
      </c>
      <c r="B39" t="s">
        <v>40</v>
      </c>
      <c r="C39">
        <v>650</v>
      </c>
      <c r="D39" s="14" t="s">
        <v>117</v>
      </c>
      <c r="E39" t="s">
        <v>114</v>
      </c>
      <c r="F39" t="s">
        <v>60</v>
      </c>
      <c r="H39" s="6" t="s">
        <v>111</v>
      </c>
      <c r="I39" s="7" t="s">
        <v>131</v>
      </c>
      <c r="J39" s="7">
        <v>32</v>
      </c>
      <c r="P39" s="11">
        <v>9782919820467</v>
      </c>
      <c r="Q39" s="2" t="s">
        <v>112</v>
      </c>
      <c r="R39" s="2" t="s">
        <v>131</v>
      </c>
      <c r="S39" s="3">
        <v>18</v>
      </c>
      <c r="Y39" s="21">
        <v>9782919820450</v>
      </c>
      <c r="Z39" s="4"/>
      <c r="AA39" s="4"/>
      <c r="AI39" t="str">
        <f t="shared" si="0"/>
        <v>covers/tiberius-caesar.jpg</v>
      </c>
      <c r="AY39" s="34" t="s">
        <v>389</v>
      </c>
      <c r="BD39" t="s">
        <v>23</v>
      </c>
      <c r="BE39" t="s">
        <v>23</v>
      </c>
      <c r="BG39" t="s">
        <v>31</v>
      </c>
      <c r="BI39" t="s">
        <v>121</v>
      </c>
      <c r="BJ39">
        <v>3</v>
      </c>
    </row>
    <row r="40" spans="1:62" x14ac:dyDescent="0.25">
      <c r="A40" t="s">
        <v>152</v>
      </c>
      <c r="B40" t="s">
        <v>126</v>
      </c>
      <c r="C40">
        <v>100</v>
      </c>
      <c r="D40" s="14" t="s">
        <v>153</v>
      </c>
      <c r="E40" t="s">
        <v>127</v>
      </c>
      <c r="H40" s="6"/>
      <c r="Q40" s="2" t="s">
        <v>112</v>
      </c>
      <c r="R40" s="2" t="s">
        <v>128</v>
      </c>
      <c r="S40" s="3">
        <v>14</v>
      </c>
      <c r="Y40" s="21">
        <v>9780062095886</v>
      </c>
      <c r="Z40" s="4"/>
      <c r="AA40" s="4"/>
      <c r="AI40" t="str">
        <f t="shared" si="0"/>
        <v>covers/milosz-selected-and-last-poems.jpg</v>
      </c>
      <c r="AY40" s="34" t="s">
        <v>390</v>
      </c>
      <c r="BD40" t="s">
        <v>23</v>
      </c>
      <c r="BE40" t="s">
        <v>23</v>
      </c>
      <c r="BG40" t="s">
        <v>31</v>
      </c>
    </row>
    <row r="41" spans="1:62" x14ac:dyDescent="0.25">
      <c r="A41" t="s">
        <v>156</v>
      </c>
      <c r="B41" t="s">
        <v>126</v>
      </c>
      <c r="C41">
        <v>200</v>
      </c>
      <c r="D41" s="15" t="s">
        <v>154</v>
      </c>
      <c r="E41" t="s">
        <v>129</v>
      </c>
      <c r="H41" s="6" t="s">
        <v>111</v>
      </c>
      <c r="I41" s="7" t="s">
        <v>155</v>
      </c>
      <c r="J41" s="7">
        <v>38</v>
      </c>
      <c r="P41" s="10">
        <v>9780151003532</v>
      </c>
      <c r="Q41" s="2" t="s">
        <v>112</v>
      </c>
      <c r="R41" s="2" t="s">
        <v>128</v>
      </c>
      <c r="S41" s="3">
        <v>11</v>
      </c>
      <c r="Y41" s="22">
        <v>9780156011464</v>
      </c>
      <c r="Z41" s="4"/>
      <c r="AA41" s="4"/>
      <c r="AI41" t="str">
        <f t="shared" si="0"/>
        <v>covers/poems-new-and-szymborska.jpg</v>
      </c>
      <c r="AY41" s="34" t="s">
        <v>391</v>
      </c>
      <c r="BD41" t="s">
        <v>23</v>
      </c>
      <c r="BE41" t="s">
        <v>23</v>
      </c>
      <c r="BG41" t="s">
        <v>31</v>
      </c>
    </row>
    <row r="42" spans="1:62" x14ac:dyDescent="0.25">
      <c r="A42" t="s">
        <v>157</v>
      </c>
      <c r="B42" t="s">
        <v>126</v>
      </c>
      <c r="C42">
        <v>300</v>
      </c>
      <c r="D42" s="15" t="s">
        <v>394</v>
      </c>
      <c r="E42" t="s">
        <v>132</v>
      </c>
      <c r="H42" s="6"/>
      <c r="Q42" s="2" t="s">
        <v>112</v>
      </c>
      <c r="R42" s="3" t="s">
        <v>128</v>
      </c>
      <c r="S42" s="3">
        <v>17</v>
      </c>
      <c r="Y42" s="22">
        <v>9780060783952</v>
      </c>
      <c r="Z42" s="4"/>
      <c r="AA42" s="4"/>
      <c r="AI42" t="str">
        <f t="shared" si="0"/>
        <v>covers/poems-herbert.jpg</v>
      </c>
      <c r="AY42" s="34" t="s">
        <v>392</v>
      </c>
      <c r="AZ42" s="38" t="s">
        <v>393</v>
      </c>
      <c r="BD42" t="s">
        <v>23</v>
      </c>
      <c r="BE42" t="s">
        <v>23</v>
      </c>
      <c r="BG42" t="s">
        <v>31</v>
      </c>
    </row>
    <row r="43" spans="1:62" x14ac:dyDescent="0.25">
      <c r="A43" t="s">
        <v>147</v>
      </c>
      <c r="B43" t="s">
        <v>126</v>
      </c>
      <c r="C43">
        <v>400</v>
      </c>
      <c r="D43" s="15" t="s">
        <v>134</v>
      </c>
      <c r="E43" t="s">
        <v>133</v>
      </c>
      <c r="H43" s="6"/>
      <c r="Q43" s="2" t="s">
        <v>112</v>
      </c>
      <c r="R43" s="3" t="s">
        <v>135</v>
      </c>
      <c r="S43" s="3">
        <v>15</v>
      </c>
      <c r="Y43" s="21">
        <v>9780374528614</v>
      </c>
      <c r="Z43" s="4"/>
      <c r="AA43" s="4"/>
      <c r="AI43" t="str">
        <f t="shared" si="0"/>
        <v>covers/without-end.jpg</v>
      </c>
      <c r="AY43" s="34" t="s">
        <v>395</v>
      </c>
      <c r="AZ43" s="38" t="s">
        <v>396</v>
      </c>
      <c r="BD43" t="s">
        <v>23</v>
      </c>
      <c r="BE43" t="s">
        <v>23</v>
      </c>
      <c r="BG43" t="s">
        <v>31</v>
      </c>
    </row>
    <row r="44" spans="1:62" x14ac:dyDescent="0.25">
      <c r="A44" t="s">
        <v>148</v>
      </c>
      <c r="B44" t="s">
        <v>126</v>
      </c>
      <c r="C44">
        <v>600</v>
      </c>
      <c r="D44" s="15" t="s">
        <v>139</v>
      </c>
      <c r="E44" t="s">
        <v>136</v>
      </c>
      <c r="F44" t="s">
        <v>158</v>
      </c>
      <c r="H44" s="6" t="s">
        <v>111</v>
      </c>
      <c r="I44" s="7" t="s">
        <v>137</v>
      </c>
      <c r="J44" s="7">
        <v>16</v>
      </c>
      <c r="P44" s="10">
        <v>9780393067798</v>
      </c>
      <c r="Q44" s="2" t="s">
        <v>112</v>
      </c>
      <c r="R44" s="2" t="str">
        <f>I44</f>
        <v>W. W. Norton</v>
      </c>
      <c r="S44" s="3">
        <v>19</v>
      </c>
      <c r="Y44" s="21">
        <v>9780393345551</v>
      </c>
      <c r="Z44" s="4"/>
      <c r="AA44" s="4"/>
      <c r="AI44" t="str">
        <f t="shared" si="0"/>
        <v>covers/sobbing-superpower.jpg</v>
      </c>
      <c r="AY44" s="34" t="s">
        <v>397</v>
      </c>
      <c r="AZ44" s="38" t="s">
        <v>398</v>
      </c>
      <c r="BD44" t="s">
        <v>23</v>
      </c>
      <c r="BE44" t="s">
        <v>23</v>
      </c>
      <c r="BG44" t="s">
        <v>31</v>
      </c>
    </row>
    <row r="45" spans="1:62" x14ac:dyDescent="0.25">
      <c r="A45" t="s">
        <v>149</v>
      </c>
      <c r="B45" t="s">
        <v>126</v>
      </c>
      <c r="C45">
        <v>700</v>
      </c>
      <c r="D45" s="15" t="s">
        <v>138</v>
      </c>
      <c r="E45" t="s">
        <v>129</v>
      </c>
      <c r="H45" s="6" t="s">
        <v>111</v>
      </c>
      <c r="I45" s="7" t="s">
        <v>130</v>
      </c>
      <c r="J45" s="7">
        <v>30</v>
      </c>
      <c r="P45" s="10">
        <v>9780544126022</v>
      </c>
      <c r="Q45" s="2" t="s">
        <v>112</v>
      </c>
      <c r="R45" s="2" t="str">
        <f>I45</f>
        <v>Mariner Books</v>
      </c>
      <c r="S45" s="3">
        <v>11</v>
      </c>
      <c r="Y45" s="21">
        <v>9780544705159</v>
      </c>
      <c r="Z45" s="4"/>
      <c r="AA45" s="4"/>
      <c r="AI45" t="str">
        <f t="shared" si="0"/>
        <v>covers/map-collected-and-last.jpg</v>
      </c>
      <c r="AY45" s="34" t="s">
        <v>399</v>
      </c>
      <c r="AZ45" s="38" t="s">
        <v>400</v>
      </c>
      <c r="BD45" t="s">
        <v>23</v>
      </c>
      <c r="BE45" t="s">
        <v>23</v>
      </c>
      <c r="BG45" t="s">
        <v>31</v>
      </c>
    </row>
    <row r="46" spans="1:62" x14ac:dyDescent="0.25">
      <c r="A46" t="s">
        <v>150</v>
      </c>
      <c r="B46" t="s">
        <v>126</v>
      </c>
      <c r="C46">
        <v>800</v>
      </c>
      <c r="D46" s="15" t="s">
        <v>140</v>
      </c>
      <c r="E46" s="9" t="s">
        <v>141</v>
      </c>
      <c r="F46" t="s">
        <v>142</v>
      </c>
      <c r="H46" s="6" t="s">
        <v>111</v>
      </c>
      <c r="I46" s="7" t="s">
        <v>131</v>
      </c>
      <c r="J46" s="7">
        <v>25</v>
      </c>
      <c r="P46" s="10">
        <v>9788367602488</v>
      </c>
      <c r="Q46" s="2" t="s">
        <v>112</v>
      </c>
      <c r="R46" s="2" t="str">
        <f>I46</f>
        <v>Mondrala Press</v>
      </c>
      <c r="S46" s="3">
        <v>11</v>
      </c>
      <c r="Y46" s="21">
        <v>9788367602471</v>
      </c>
      <c r="Z46" s="4"/>
      <c r="AA46" s="4"/>
      <c r="AI46" t="str">
        <f t="shared" si="0"/>
        <v>covers/from-tree-of-knowledge.jpg</v>
      </c>
      <c r="AY46" s="34" t="s">
        <v>401</v>
      </c>
      <c r="BD46" t="s">
        <v>23</v>
      </c>
      <c r="BE46" t="s">
        <v>23</v>
      </c>
      <c r="BG46" t="s">
        <v>31</v>
      </c>
    </row>
    <row r="47" spans="1:62" x14ac:dyDescent="0.25">
      <c r="A47" t="s">
        <v>202</v>
      </c>
      <c r="B47" t="s">
        <v>126</v>
      </c>
      <c r="C47">
        <v>900</v>
      </c>
      <c r="D47" s="15" t="s">
        <v>143</v>
      </c>
      <c r="E47" t="s">
        <v>144</v>
      </c>
      <c r="H47" s="6"/>
      <c r="Q47" s="2" t="s">
        <v>112</v>
      </c>
      <c r="R47" s="2"/>
      <c r="S47" s="3">
        <v>7</v>
      </c>
      <c r="Y47" s="21">
        <v>9798802065853</v>
      </c>
      <c r="Z47" s="4"/>
      <c r="AA47" s="4"/>
      <c r="AI47" t="str">
        <f t="shared" si="0"/>
        <v>covers/krzysztof-kamil-baczynski.jpg</v>
      </c>
      <c r="AY47" s="34" t="s">
        <v>402</v>
      </c>
      <c r="BD47" t="s">
        <v>23</v>
      </c>
      <c r="BE47" t="s">
        <v>23</v>
      </c>
      <c r="BG47" t="s">
        <v>31</v>
      </c>
    </row>
    <row r="48" spans="1:62" x14ac:dyDescent="0.25">
      <c r="A48" t="s">
        <v>151</v>
      </c>
      <c r="B48" t="s">
        <v>126</v>
      </c>
      <c r="C48">
        <v>1000</v>
      </c>
      <c r="D48" s="15" t="s">
        <v>146</v>
      </c>
      <c r="E48" t="s">
        <v>145</v>
      </c>
      <c r="F48" t="s">
        <v>52</v>
      </c>
      <c r="H48" s="6"/>
      <c r="Q48" s="2" t="s">
        <v>112</v>
      </c>
      <c r="R48" s="2"/>
      <c r="S48" s="3">
        <v>14</v>
      </c>
      <c r="Y48" s="21">
        <v>9781931243810</v>
      </c>
      <c r="Z48" s="4"/>
      <c r="AA48" s="4"/>
      <c r="AI48" t="str">
        <f t="shared" si="0"/>
        <v>covers/white-magic-baczynski.jpg</v>
      </c>
      <c r="AY48" s="34" t="s">
        <v>403</v>
      </c>
      <c r="BD48" t="s">
        <v>23</v>
      </c>
      <c r="BE48" t="s">
        <v>23</v>
      </c>
      <c r="BG48" t="s">
        <v>31</v>
      </c>
    </row>
    <row r="49" spans="1:62" x14ac:dyDescent="0.25">
      <c r="A49" t="s">
        <v>198</v>
      </c>
      <c r="B49" t="s">
        <v>126</v>
      </c>
      <c r="C49">
        <v>1100</v>
      </c>
      <c r="D49" s="15" t="s">
        <v>199</v>
      </c>
      <c r="E49" t="s">
        <v>200</v>
      </c>
      <c r="F49" t="s">
        <v>200</v>
      </c>
      <c r="H49" s="6" t="s">
        <v>111</v>
      </c>
      <c r="I49" s="7" t="s">
        <v>131</v>
      </c>
      <c r="J49" s="7">
        <v>19</v>
      </c>
      <c r="P49" s="10">
        <v>9788367602426</v>
      </c>
      <c r="Q49" s="2" t="s">
        <v>112</v>
      </c>
      <c r="R49" s="2" t="str">
        <f>R46</f>
        <v>Mondrala Press</v>
      </c>
      <c r="S49" s="3">
        <v>9.99</v>
      </c>
      <c r="Y49" s="21">
        <v>9788367602419</v>
      </c>
      <c r="Z49" s="4"/>
      <c r="AA49" s="4"/>
      <c r="AI49" t="str">
        <f t="shared" si="0"/>
        <v>covers/new-poems-ukr-po.jpg</v>
      </c>
      <c r="AY49" s="34" t="s">
        <v>201</v>
      </c>
      <c r="BD49" t="s">
        <v>23</v>
      </c>
      <c r="BE49" t="s">
        <v>23</v>
      </c>
      <c r="BG49" t="s">
        <v>31</v>
      </c>
    </row>
    <row r="50" spans="1:62" x14ac:dyDescent="0.25">
      <c r="A50" t="s">
        <v>190</v>
      </c>
      <c r="B50" t="s">
        <v>303</v>
      </c>
      <c r="C50">
        <v>1000</v>
      </c>
      <c r="D50" s="15" t="s">
        <v>186</v>
      </c>
      <c r="E50" t="s">
        <v>185</v>
      </c>
      <c r="F50" t="s">
        <v>60</v>
      </c>
      <c r="H50" s="6" t="s">
        <v>111</v>
      </c>
      <c r="I50" s="7" t="s">
        <v>131</v>
      </c>
      <c r="J50" s="7">
        <v>26</v>
      </c>
      <c r="P50" s="10">
        <v>9782919820863</v>
      </c>
      <c r="Q50" s="2" t="s">
        <v>112</v>
      </c>
      <c r="R50" s="2" t="str">
        <f>R49</f>
        <v>Mondrala Press</v>
      </c>
      <c r="S50" s="3">
        <v>13</v>
      </c>
      <c r="Y50" s="21">
        <v>9782919820856</v>
      </c>
      <c r="Z50" s="4" t="s">
        <v>113</v>
      </c>
      <c r="AA50" s="4" t="s">
        <v>131</v>
      </c>
      <c r="AB50" s="5">
        <v>2.99</v>
      </c>
      <c r="AH50" s="4">
        <v>9782919820849</v>
      </c>
      <c r="AI50" t="str">
        <f t="shared" si="0"/>
        <v>covers/wheels-templars.jpg</v>
      </c>
      <c r="AY50" s="34" t="s">
        <v>195</v>
      </c>
      <c r="BD50" t="s">
        <v>23</v>
      </c>
      <c r="BE50" t="s">
        <v>23</v>
      </c>
      <c r="BG50" t="s">
        <v>31</v>
      </c>
    </row>
    <row r="51" spans="1:62" x14ac:dyDescent="0.25">
      <c r="A51" t="s">
        <v>193</v>
      </c>
      <c r="B51" t="s">
        <v>853</v>
      </c>
      <c r="C51">
        <v>1100</v>
      </c>
      <c r="D51" s="15" t="s">
        <v>187</v>
      </c>
      <c r="E51" t="s">
        <v>185</v>
      </c>
      <c r="F51" t="s">
        <v>60</v>
      </c>
      <c r="H51" s="6" t="s">
        <v>111</v>
      </c>
      <c r="I51" s="7" t="s">
        <v>131</v>
      </c>
      <c r="J51" s="7">
        <v>25</v>
      </c>
      <c r="P51" s="10">
        <v>9782919840014</v>
      </c>
      <c r="Q51" s="2" t="s">
        <v>112</v>
      </c>
      <c r="R51" s="2" t="str">
        <f>R50</f>
        <v>Mondrala Press</v>
      </c>
      <c r="S51" s="3">
        <v>17</v>
      </c>
      <c r="Y51" s="21">
        <v>9782919840021</v>
      </c>
      <c r="Z51" s="4" t="s">
        <v>113</v>
      </c>
      <c r="AA51" s="4" t="s">
        <v>131</v>
      </c>
      <c r="AB51" s="5">
        <v>9.99</v>
      </c>
      <c r="AH51" s="8">
        <v>9782919840038</v>
      </c>
      <c r="AI51" t="str">
        <f t="shared" si="0"/>
        <v>covers/wheels-mysteries.jpg</v>
      </c>
      <c r="AY51" s="34" t="s">
        <v>197</v>
      </c>
      <c r="BD51" t="s">
        <v>23</v>
      </c>
      <c r="BE51" t="s">
        <v>23</v>
      </c>
      <c r="BG51" t="s">
        <v>31</v>
      </c>
    </row>
    <row r="52" spans="1:62" x14ac:dyDescent="0.25">
      <c r="A52" t="s">
        <v>192</v>
      </c>
      <c r="B52" t="s">
        <v>853</v>
      </c>
      <c r="C52">
        <v>1200</v>
      </c>
      <c r="D52" s="15" t="s">
        <v>189</v>
      </c>
      <c r="E52" t="s">
        <v>185</v>
      </c>
      <c r="F52" t="s">
        <v>60</v>
      </c>
      <c r="H52" s="6" t="s">
        <v>111</v>
      </c>
      <c r="I52" s="7" t="s">
        <v>131</v>
      </c>
      <c r="J52" s="7">
        <v>25</v>
      </c>
      <c r="P52" s="10">
        <v>9782919820955</v>
      </c>
      <c r="Q52" s="2" t="s">
        <v>112</v>
      </c>
      <c r="R52" s="2" t="str">
        <f>R49</f>
        <v>Mondrala Press</v>
      </c>
      <c r="S52" s="3">
        <v>15</v>
      </c>
      <c r="Y52" s="22">
        <v>9782919820948</v>
      </c>
      <c r="Z52" s="4" t="s">
        <v>113</v>
      </c>
      <c r="AA52" s="4" t="s">
        <v>131</v>
      </c>
      <c r="AB52" s="5">
        <v>9.99</v>
      </c>
      <c r="AH52" s="4">
        <v>9782919820924</v>
      </c>
      <c r="AI52" t="str">
        <f t="shared" si="0"/>
        <v>covers/wheels-bandits.jpg</v>
      </c>
      <c r="AY52" s="34" t="s">
        <v>194</v>
      </c>
      <c r="BD52" t="s">
        <v>23</v>
      </c>
      <c r="BE52" t="s">
        <v>23</v>
      </c>
      <c r="BG52" t="s">
        <v>31</v>
      </c>
    </row>
    <row r="53" spans="1:62" x14ac:dyDescent="0.25">
      <c r="A53" t="s">
        <v>191</v>
      </c>
      <c r="B53" t="s">
        <v>853</v>
      </c>
      <c r="C53">
        <v>1300</v>
      </c>
      <c r="D53" s="15" t="s">
        <v>188</v>
      </c>
      <c r="E53" t="s">
        <v>185</v>
      </c>
      <c r="F53" t="s">
        <v>60</v>
      </c>
      <c r="H53" s="6" t="s">
        <v>111</v>
      </c>
      <c r="I53" s="7" t="s">
        <v>131</v>
      </c>
      <c r="J53" s="7">
        <v>25</v>
      </c>
      <c r="P53" s="10">
        <v>9782919820917</v>
      </c>
      <c r="Q53" s="2" t="s">
        <v>112</v>
      </c>
      <c r="R53" s="2" t="str">
        <f>R50</f>
        <v>Mondrala Press</v>
      </c>
      <c r="S53" s="3">
        <v>13</v>
      </c>
      <c r="Y53" s="21">
        <v>9782919820900</v>
      </c>
      <c r="Z53" s="4" t="s">
        <v>113</v>
      </c>
      <c r="AA53" s="4" t="s">
        <v>131</v>
      </c>
      <c r="AB53" s="5">
        <v>9.99</v>
      </c>
      <c r="AH53" s="4">
        <v>9782919820894</v>
      </c>
      <c r="AI53" t="str">
        <f t="shared" si="0"/>
        <v>covers/wheels-copernicus.jpg</v>
      </c>
      <c r="AY53" s="36" t="s">
        <v>196</v>
      </c>
      <c r="BD53" t="s">
        <v>23</v>
      </c>
      <c r="BE53" t="s">
        <v>23</v>
      </c>
      <c r="BG53" t="s">
        <v>31</v>
      </c>
    </row>
    <row r="54" spans="1:62" x14ac:dyDescent="0.25">
      <c r="A54" t="s">
        <v>211</v>
      </c>
      <c r="B54" t="s">
        <v>78</v>
      </c>
      <c r="C54">
        <v>525</v>
      </c>
      <c r="D54" s="15" t="s">
        <v>212</v>
      </c>
      <c r="E54" t="s">
        <v>213</v>
      </c>
      <c r="F54" t="s">
        <v>67</v>
      </c>
      <c r="Q54" s="2" t="s">
        <v>112</v>
      </c>
      <c r="R54" s="2" t="s">
        <v>437</v>
      </c>
      <c r="S54" s="3">
        <v>19</v>
      </c>
      <c r="Y54" s="21">
        <v>9781905583393</v>
      </c>
      <c r="Z54" s="4" t="s">
        <v>113</v>
      </c>
      <c r="AA54" s="4" t="s">
        <v>131</v>
      </c>
      <c r="AB54" s="5">
        <v>5.99</v>
      </c>
      <c r="AH54" s="8">
        <v>9781905583829</v>
      </c>
      <c r="AI54" t="str">
        <f t="shared" si="0"/>
        <v>covers/cold-sea.jpg</v>
      </c>
      <c r="AY54" s="34" t="s">
        <v>214</v>
      </c>
      <c r="BD54" t="s">
        <v>23</v>
      </c>
      <c r="BE54" t="s">
        <v>23</v>
      </c>
      <c r="BG54" t="s">
        <v>31</v>
      </c>
    </row>
    <row r="55" spans="1:62" x14ac:dyDescent="0.25">
      <c r="A55" t="s">
        <v>216</v>
      </c>
      <c r="B55" t="s">
        <v>40</v>
      </c>
      <c r="C55">
        <v>235</v>
      </c>
      <c r="D55" s="15" t="s">
        <v>218</v>
      </c>
      <c r="E55" t="s">
        <v>219</v>
      </c>
      <c r="F55" t="s">
        <v>235</v>
      </c>
      <c r="H55" s="6" t="s">
        <v>111</v>
      </c>
      <c r="I55" s="7" t="s">
        <v>220</v>
      </c>
      <c r="J55" s="7">
        <v>47</v>
      </c>
      <c r="P55" s="13">
        <v>9780670834280</v>
      </c>
      <c r="Q55" s="2" t="s">
        <v>112</v>
      </c>
      <c r="R55" s="7" t="s">
        <v>220</v>
      </c>
      <c r="S55" s="3">
        <v>22</v>
      </c>
      <c r="Y55" s="21">
        <v>9780140445800</v>
      </c>
      <c r="Z55" s="4" t="s">
        <v>113</v>
      </c>
      <c r="AA55" s="4" t="str">
        <f>R55</f>
        <v>Viking Adult</v>
      </c>
      <c r="AB55" s="5">
        <v>13</v>
      </c>
      <c r="AH55" s="8">
        <v>9780141914138</v>
      </c>
      <c r="AI55" t="str">
        <f t="shared" si="0"/>
        <v>covers/saragossa.jpg</v>
      </c>
      <c r="AP55" t="s">
        <v>655</v>
      </c>
      <c r="AQ55" t="s">
        <v>656</v>
      </c>
      <c r="AR55" t="s">
        <v>654</v>
      </c>
      <c r="AS55" t="s">
        <v>662</v>
      </c>
      <c r="AT55" s="25" t="s">
        <v>666</v>
      </c>
      <c r="AU55" t="s">
        <v>661</v>
      </c>
      <c r="AV55" t="s">
        <v>664</v>
      </c>
      <c r="AW55" t="s">
        <v>665</v>
      </c>
      <c r="AX55" t="s">
        <v>663</v>
      </c>
      <c r="AY55" s="36" t="s">
        <v>217</v>
      </c>
      <c r="BD55" t="s">
        <v>23</v>
      </c>
      <c r="BE55" t="s">
        <v>23</v>
      </c>
      <c r="BG55" t="s">
        <v>31</v>
      </c>
    </row>
    <row r="56" spans="1:62" x14ac:dyDescent="0.25">
      <c r="A56" t="s">
        <v>221</v>
      </c>
      <c r="B56" t="s">
        <v>40</v>
      </c>
      <c r="C56">
        <v>450</v>
      </c>
      <c r="D56" s="15" t="s">
        <v>240</v>
      </c>
      <c r="E56" t="s">
        <v>222</v>
      </c>
      <c r="F56" t="s">
        <v>67</v>
      </c>
      <c r="Q56" s="2" t="s">
        <v>112</v>
      </c>
      <c r="R56" s="7" t="s">
        <v>223</v>
      </c>
      <c r="S56" s="3">
        <v>28</v>
      </c>
      <c r="Y56" s="21">
        <v>9789639241459</v>
      </c>
      <c r="Z56" s="4"/>
      <c r="AA56" s="4"/>
      <c r="AI56" t="str">
        <f t="shared" si="0"/>
        <v>covers/birch-grove.jpg</v>
      </c>
      <c r="AY56" s="34" t="s">
        <v>224</v>
      </c>
      <c r="BD56" t="s">
        <v>23</v>
      </c>
      <c r="BE56" t="s">
        <v>23</v>
      </c>
      <c r="BG56" t="s">
        <v>31</v>
      </c>
    </row>
    <row r="57" spans="1:62" x14ac:dyDescent="0.25">
      <c r="A57" t="s">
        <v>226</v>
      </c>
      <c r="B57" t="s">
        <v>40</v>
      </c>
      <c r="C57">
        <v>750</v>
      </c>
      <c r="D57" s="15" t="s">
        <v>225</v>
      </c>
      <c r="E57" t="s">
        <v>227</v>
      </c>
      <c r="F57" t="s">
        <v>228</v>
      </c>
      <c r="P57" s="6"/>
      <c r="Q57" s="2" t="s">
        <v>112</v>
      </c>
      <c r="R57" s="7" t="s">
        <v>229</v>
      </c>
      <c r="S57" s="3">
        <v>22</v>
      </c>
      <c r="Y57" s="21">
        <v>9780810108066</v>
      </c>
      <c r="Z57" s="4"/>
      <c r="AA57" s="4"/>
      <c r="AI57" t="str">
        <f t="shared" si="0"/>
        <v>covers/danton-thermidor.jpg</v>
      </c>
      <c r="AY57" s="36" t="s">
        <v>230</v>
      </c>
      <c r="BD57" t="s">
        <v>23</v>
      </c>
      <c r="BE57" t="s">
        <v>23</v>
      </c>
      <c r="BG57" t="s">
        <v>31</v>
      </c>
    </row>
    <row r="58" spans="1:62" x14ac:dyDescent="0.25">
      <c r="A58" t="s">
        <v>231</v>
      </c>
      <c r="B58" t="s">
        <v>40</v>
      </c>
      <c r="C58">
        <v>800</v>
      </c>
      <c r="D58" s="15" t="s">
        <v>232</v>
      </c>
      <c r="E58" t="s">
        <v>234</v>
      </c>
      <c r="F58" t="s">
        <v>52</v>
      </c>
      <c r="Q58" s="2" t="s">
        <v>112</v>
      </c>
      <c r="R58" s="7" t="s">
        <v>223</v>
      </c>
      <c r="S58" s="3">
        <v>39</v>
      </c>
      <c r="Y58" s="21">
        <v>9789637326899</v>
      </c>
      <c r="Z58" s="4"/>
      <c r="AA58" s="4"/>
      <c r="AI58" t="str">
        <f t="shared" si="0"/>
        <v>covers/coming-spring.jpg</v>
      </c>
      <c r="AY58" s="34" t="s">
        <v>233</v>
      </c>
      <c r="BD58" t="s">
        <v>23</v>
      </c>
      <c r="BE58" t="s">
        <v>23</v>
      </c>
      <c r="BG58" t="s">
        <v>31</v>
      </c>
    </row>
    <row r="59" spans="1:62" x14ac:dyDescent="0.25">
      <c r="A59" t="s">
        <v>245</v>
      </c>
      <c r="B59" t="s">
        <v>86</v>
      </c>
      <c r="C59">
        <v>900</v>
      </c>
      <c r="D59" s="15" t="s">
        <v>241</v>
      </c>
      <c r="E59" t="s">
        <v>242</v>
      </c>
      <c r="Q59" s="2" t="s">
        <v>112</v>
      </c>
      <c r="R59" s="7" t="s">
        <v>243</v>
      </c>
      <c r="S59" s="3">
        <v>57.99</v>
      </c>
      <c r="Y59" s="21">
        <v>9781412865432</v>
      </c>
      <c r="Z59" s="4" t="s">
        <v>113</v>
      </c>
      <c r="AA59" s="5" t="str">
        <f>R59</f>
        <v>Routledge</v>
      </c>
      <c r="AB59" s="5">
        <v>44</v>
      </c>
      <c r="AH59" s="8">
        <v>9781351623674</v>
      </c>
      <c r="AI59" t="str">
        <f t="shared" si="0"/>
        <v>covers/beniowski.jpg</v>
      </c>
      <c r="AY59" s="34" t="s">
        <v>244</v>
      </c>
      <c r="BD59" t="s">
        <v>23</v>
      </c>
      <c r="BE59" t="s">
        <v>23</v>
      </c>
      <c r="BG59" t="s">
        <v>30</v>
      </c>
    </row>
    <row r="60" spans="1:62" x14ac:dyDescent="0.25">
      <c r="A60" t="s">
        <v>246</v>
      </c>
      <c r="B60" t="s">
        <v>301</v>
      </c>
      <c r="C60">
        <v>600</v>
      </c>
      <c r="D60" s="15" t="s">
        <v>247</v>
      </c>
      <c r="E60" t="s">
        <v>248</v>
      </c>
      <c r="F60" s="16" t="s">
        <v>249</v>
      </c>
      <c r="G60" s="16"/>
      <c r="Q60" s="2" t="s">
        <v>112</v>
      </c>
      <c r="R60" s="7" t="s">
        <v>250</v>
      </c>
      <c r="S60" s="3">
        <v>50</v>
      </c>
      <c r="Y60" s="21">
        <v>9780316498845</v>
      </c>
      <c r="Z60" s="4"/>
      <c r="AA60" s="4"/>
      <c r="AI60" t="str">
        <f t="shared" si="0"/>
        <v>covers/witcher-set.jpg</v>
      </c>
      <c r="AY60" s="36" t="s">
        <v>251</v>
      </c>
      <c r="BD60" t="s">
        <v>23</v>
      </c>
      <c r="BE60" t="s">
        <v>23</v>
      </c>
      <c r="BG60" t="s">
        <v>31</v>
      </c>
    </row>
    <row r="61" spans="1:62" x14ac:dyDescent="0.25">
      <c r="A61" t="s">
        <v>252</v>
      </c>
      <c r="B61" t="s">
        <v>301</v>
      </c>
      <c r="C61">
        <v>850</v>
      </c>
      <c r="D61" s="15" t="s">
        <v>253</v>
      </c>
      <c r="E61" t="s">
        <v>248</v>
      </c>
      <c r="F61" t="s">
        <v>254</v>
      </c>
      <c r="Q61" s="2" t="s">
        <v>112</v>
      </c>
      <c r="R61" s="7" t="s">
        <v>250</v>
      </c>
      <c r="S61" s="3">
        <v>18</v>
      </c>
      <c r="Y61" s="21">
        <v>9780316423694</v>
      </c>
      <c r="Z61" s="4"/>
      <c r="AA61" s="4"/>
      <c r="AI61" t="str">
        <f t="shared" si="0"/>
        <v>covers/tower-fools.jpg</v>
      </c>
      <c r="AY61" s="34" t="s">
        <v>255</v>
      </c>
      <c r="BD61" t="s">
        <v>23</v>
      </c>
      <c r="BE61" t="s">
        <v>23</v>
      </c>
      <c r="BG61" t="s">
        <v>31</v>
      </c>
      <c r="BI61" t="s">
        <v>256</v>
      </c>
      <c r="BJ61">
        <v>1</v>
      </c>
    </row>
    <row r="62" spans="1:62" x14ac:dyDescent="0.25">
      <c r="A62" t="s">
        <v>257</v>
      </c>
      <c r="B62" t="s">
        <v>301</v>
      </c>
      <c r="C62">
        <v>860</v>
      </c>
      <c r="D62" s="15" t="s">
        <v>258</v>
      </c>
      <c r="E62" t="s">
        <v>248</v>
      </c>
      <c r="F62" t="s">
        <v>254</v>
      </c>
      <c r="Q62" s="2" t="s">
        <v>112</v>
      </c>
      <c r="R62" s="7" t="s">
        <v>250</v>
      </c>
      <c r="S62" s="3">
        <v>9.99</v>
      </c>
      <c r="Y62" s="21">
        <v>9780316423717</v>
      </c>
      <c r="Z62" s="4"/>
      <c r="AA62" s="4"/>
      <c r="AI62" t="str">
        <f t="shared" si="0"/>
        <v>covers/warrior-god.jpg</v>
      </c>
      <c r="AY62" s="36" t="s">
        <v>259</v>
      </c>
      <c r="BD62" t="s">
        <v>23</v>
      </c>
      <c r="BE62" t="s">
        <v>23</v>
      </c>
      <c r="BG62" t="s">
        <v>31</v>
      </c>
      <c r="BI62" t="s">
        <v>256</v>
      </c>
      <c r="BJ62">
        <v>2</v>
      </c>
    </row>
    <row r="63" spans="1:62" x14ac:dyDescent="0.25">
      <c r="A63" t="s">
        <v>260</v>
      </c>
      <c r="B63" t="s">
        <v>301</v>
      </c>
      <c r="C63">
        <v>870</v>
      </c>
      <c r="D63" s="15" t="s">
        <v>261</v>
      </c>
      <c r="E63" t="s">
        <v>248</v>
      </c>
      <c r="F63" t="s">
        <v>254</v>
      </c>
      <c r="Q63" s="2" t="s">
        <v>112</v>
      </c>
      <c r="R63" s="7" t="s">
        <v>250</v>
      </c>
      <c r="S63" s="3">
        <v>16</v>
      </c>
      <c r="Y63" s="21">
        <v>9780316423755</v>
      </c>
      <c r="Z63" s="4"/>
      <c r="AA63" s="4"/>
      <c r="AI63" t="str">
        <f t="shared" si="0"/>
        <v>covers/light-perpetua.jpg</v>
      </c>
      <c r="AY63" s="34" t="s">
        <v>262</v>
      </c>
      <c r="BD63" t="s">
        <v>23</v>
      </c>
      <c r="BE63" t="s">
        <v>23</v>
      </c>
      <c r="BG63" t="s">
        <v>31</v>
      </c>
      <c r="BI63" t="s">
        <v>256</v>
      </c>
      <c r="BJ63">
        <v>3</v>
      </c>
    </row>
    <row r="64" spans="1:62" x14ac:dyDescent="0.25">
      <c r="A64" t="s">
        <v>263</v>
      </c>
      <c r="B64" t="s">
        <v>86</v>
      </c>
      <c r="C64">
        <v>553</v>
      </c>
      <c r="D64" s="15" t="s">
        <v>264</v>
      </c>
      <c r="E64" t="s">
        <v>265</v>
      </c>
      <c r="H64" s="6" t="s">
        <v>111</v>
      </c>
      <c r="I64" s="7" t="s">
        <v>266</v>
      </c>
      <c r="J64" s="7">
        <v>28</v>
      </c>
      <c r="P64" s="10">
        <v>9780465002375</v>
      </c>
      <c r="Q64" s="2" t="s">
        <v>112</v>
      </c>
      <c r="R64" s="7" t="s">
        <v>266</v>
      </c>
      <c r="S64" s="3">
        <v>22</v>
      </c>
      <c r="Y64" s="21">
        <v>9781845951207</v>
      </c>
      <c r="Z64" s="4" t="s">
        <v>113</v>
      </c>
      <c r="AA64" s="4"/>
      <c r="AB64" s="5">
        <v>8.99</v>
      </c>
      <c r="AH64" s="8">
        <v>9780465012473</v>
      </c>
      <c r="AI64" t="str">
        <f t="shared" si="0"/>
        <v>covers/red-prince.jpg</v>
      </c>
      <c r="AY64" s="36" t="s">
        <v>267</v>
      </c>
      <c r="BD64" t="s">
        <v>23</v>
      </c>
      <c r="BE64" t="s">
        <v>23</v>
      </c>
      <c r="BG64" t="s">
        <v>30</v>
      </c>
    </row>
    <row r="65" spans="1:62" x14ac:dyDescent="0.25">
      <c r="A65" t="s">
        <v>269</v>
      </c>
      <c r="B65" t="s">
        <v>86</v>
      </c>
      <c r="C65">
        <v>572</v>
      </c>
      <c r="D65" s="15" t="s">
        <v>270</v>
      </c>
      <c r="E65" t="s">
        <v>271</v>
      </c>
      <c r="H65" s="6" t="s">
        <v>111</v>
      </c>
      <c r="I65" s="7" t="s">
        <v>273</v>
      </c>
      <c r="J65" s="7">
        <v>45</v>
      </c>
      <c r="P65" s="10">
        <v>9780801444715</v>
      </c>
      <c r="Q65" s="2"/>
      <c r="R65" s="7"/>
      <c r="Z65" s="4"/>
      <c r="AA65" s="4"/>
      <c r="AI65" t="str">
        <f t="shared" si="0"/>
        <v>covers/adam-mickiewicz.jpg</v>
      </c>
      <c r="AY65" s="36" t="s">
        <v>272</v>
      </c>
      <c r="BD65" t="s">
        <v>23</v>
      </c>
      <c r="BE65" t="s">
        <v>23</v>
      </c>
      <c r="BG65" t="s">
        <v>30</v>
      </c>
    </row>
    <row r="66" spans="1:62" x14ac:dyDescent="0.25">
      <c r="A66" t="s">
        <v>275</v>
      </c>
      <c r="B66" t="s">
        <v>126</v>
      </c>
      <c r="C66">
        <v>832</v>
      </c>
      <c r="D66" s="15" t="s">
        <v>274</v>
      </c>
      <c r="E66" t="s">
        <v>51</v>
      </c>
      <c r="F66" t="s">
        <v>278</v>
      </c>
      <c r="H66" s="6" t="s">
        <v>111</v>
      </c>
      <c r="I66" s="7" t="s">
        <v>277</v>
      </c>
      <c r="J66" s="7">
        <v>31</v>
      </c>
      <c r="P66" s="10">
        <v>9781911414018</v>
      </c>
      <c r="Q66" s="2"/>
      <c r="R66" s="7"/>
      <c r="Z66" s="4"/>
      <c r="AA66" s="4"/>
      <c r="AI66" t="str">
        <f t="shared" si="0"/>
        <v>covers/forefathers-eve.jpg</v>
      </c>
      <c r="AY66" s="36" t="s">
        <v>276</v>
      </c>
      <c r="BD66" t="s">
        <v>23</v>
      </c>
      <c r="BE66" t="s">
        <v>23</v>
      </c>
      <c r="BG66" t="s">
        <v>31</v>
      </c>
    </row>
    <row r="67" spans="1:62" x14ac:dyDescent="0.25">
      <c r="A67" t="s">
        <v>280</v>
      </c>
      <c r="B67" t="s">
        <v>126</v>
      </c>
      <c r="C67">
        <v>900</v>
      </c>
      <c r="D67" s="15" t="s">
        <v>279</v>
      </c>
      <c r="E67" t="s">
        <v>51</v>
      </c>
      <c r="F67" t="s">
        <v>278</v>
      </c>
      <c r="H67" s="6" t="s">
        <v>111</v>
      </c>
      <c r="I67" s="7" t="s">
        <v>277</v>
      </c>
      <c r="J67" s="7">
        <v>27</v>
      </c>
      <c r="P67" s="10">
        <v>9781804840016</v>
      </c>
      <c r="Q67" s="2"/>
      <c r="R67" s="7"/>
      <c r="Z67" s="4"/>
      <c r="AA67" s="4"/>
      <c r="AI67" t="str">
        <f t="shared" si="0"/>
        <v>covers/ballads-romances.jpg</v>
      </c>
      <c r="AY67" s="34" t="s">
        <v>281</v>
      </c>
      <c r="BD67" t="s">
        <v>23</v>
      </c>
      <c r="BE67" t="s">
        <v>23</v>
      </c>
      <c r="BG67" t="s">
        <v>31</v>
      </c>
    </row>
    <row r="68" spans="1:62" x14ac:dyDescent="0.25">
      <c r="A68" t="s">
        <v>282</v>
      </c>
      <c r="B68" t="s">
        <v>74</v>
      </c>
      <c r="C68">
        <v>902</v>
      </c>
      <c r="D68" s="15" t="s">
        <v>283</v>
      </c>
      <c r="E68" t="s">
        <v>127</v>
      </c>
      <c r="F68" t="s">
        <v>284</v>
      </c>
      <c r="H68" s="6"/>
      <c r="Q68" s="2" t="s">
        <v>112</v>
      </c>
      <c r="R68" s="7" t="s">
        <v>135</v>
      </c>
      <c r="S68" s="3">
        <v>16</v>
      </c>
      <c r="Y68" s="21">
        <v>9780374528300</v>
      </c>
      <c r="Z68" s="4"/>
      <c r="AA68" s="4"/>
      <c r="AI68" t="str">
        <f t="shared" si="0"/>
        <v>covers/native-realm.jpg</v>
      </c>
      <c r="AY68" s="34" t="s">
        <v>285</v>
      </c>
      <c r="BD68" t="s">
        <v>23</v>
      </c>
      <c r="BE68" t="s">
        <v>23</v>
      </c>
      <c r="BG68" t="s">
        <v>31</v>
      </c>
    </row>
    <row r="69" spans="1:62" x14ac:dyDescent="0.25">
      <c r="A69" t="s">
        <v>286</v>
      </c>
      <c r="B69" t="s">
        <v>86</v>
      </c>
      <c r="C69">
        <v>903</v>
      </c>
      <c r="D69" s="15" t="s">
        <v>287</v>
      </c>
      <c r="E69" t="s">
        <v>127</v>
      </c>
      <c r="H69" s="6"/>
      <c r="Q69" s="2" t="s">
        <v>112</v>
      </c>
      <c r="R69" s="7" t="s">
        <v>288</v>
      </c>
      <c r="S69" s="3">
        <v>41</v>
      </c>
      <c r="Y69" s="21">
        <v>9780520044777</v>
      </c>
      <c r="Z69" s="4"/>
      <c r="AA69" s="4"/>
      <c r="AI69" t="str">
        <f t="shared" si="0"/>
        <v>covers/history-lit-milosz.jpg</v>
      </c>
      <c r="AY69" s="34" t="s">
        <v>292</v>
      </c>
      <c r="BD69" t="s">
        <v>23</v>
      </c>
      <c r="BE69" t="s">
        <v>23</v>
      </c>
      <c r="BG69" t="s">
        <v>31</v>
      </c>
    </row>
    <row r="70" spans="1:62" x14ac:dyDescent="0.25">
      <c r="A70" t="s">
        <v>290</v>
      </c>
      <c r="B70" t="s">
        <v>126</v>
      </c>
      <c r="C70">
        <v>872</v>
      </c>
      <c r="D70" s="15" t="s">
        <v>289</v>
      </c>
      <c r="E70" t="s">
        <v>291</v>
      </c>
      <c r="H70" s="6"/>
      <c r="Q70" s="2" t="s">
        <v>112</v>
      </c>
      <c r="R70" s="7" t="s">
        <v>288</v>
      </c>
      <c r="S70" s="3">
        <v>22</v>
      </c>
      <c r="Y70" s="21">
        <v>9780520044760</v>
      </c>
      <c r="Z70" s="4"/>
      <c r="AA70" s="4"/>
      <c r="AI70" t="str">
        <f t="shared" si="0"/>
        <v>covers/postwar-polish-poetry.jpg</v>
      </c>
      <c r="AY70" s="34" t="s">
        <v>293</v>
      </c>
      <c r="BD70" t="s">
        <v>23</v>
      </c>
      <c r="BE70" t="s">
        <v>23</v>
      </c>
      <c r="BG70" t="s">
        <v>31</v>
      </c>
    </row>
    <row r="71" spans="1:62" x14ac:dyDescent="0.25">
      <c r="A71" t="s">
        <v>294</v>
      </c>
      <c r="B71" t="s">
        <v>74</v>
      </c>
      <c r="C71">
        <v>457</v>
      </c>
      <c r="D71" s="15" t="s">
        <v>295</v>
      </c>
      <c r="E71" t="s">
        <v>127</v>
      </c>
      <c r="H71" s="6"/>
      <c r="Q71" s="2" t="s">
        <v>112</v>
      </c>
      <c r="R71" s="7" t="s">
        <v>266</v>
      </c>
      <c r="S71" s="3">
        <v>13</v>
      </c>
      <c r="Y71" s="21">
        <v>9780679728566</v>
      </c>
      <c r="Z71" s="4"/>
      <c r="AA71" s="4"/>
      <c r="AI71" t="str">
        <f t="shared" si="0"/>
        <v>covers/captive-mind.jpg</v>
      </c>
      <c r="AY71" s="34" t="s">
        <v>296</v>
      </c>
      <c r="BD71" t="s">
        <v>23</v>
      </c>
      <c r="BE71" t="s">
        <v>23</v>
      </c>
      <c r="BG71" t="s">
        <v>31</v>
      </c>
    </row>
    <row r="72" spans="1:62" x14ac:dyDescent="0.25">
      <c r="A72" t="s">
        <v>298</v>
      </c>
      <c r="B72" t="s">
        <v>126</v>
      </c>
      <c r="C72">
        <v>1100</v>
      </c>
      <c r="D72" s="15" t="s">
        <v>297</v>
      </c>
      <c r="E72" t="s">
        <v>200</v>
      </c>
      <c r="F72" t="s">
        <v>299</v>
      </c>
      <c r="H72" s="6"/>
      <c r="Q72" s="2" t="s">
        <v>112</v>
      </c>
      <c r="R72" s="7"/>
      <c r="S72" s="3">
        <v>14</v>
      </c>
      <c r="Y72" s="21">
        <v>9781419679995</v>
      </c>
      <c r="Z72" s="4"/>
      <c r="AA72" s="4"/>
      <c r="AI72" t="str">
        <f t="shared" si="0"/>
        <v>covers/selected-masterpieces.jpg</v>
      </c>
      <c r="AY72" s="34" t="s">
        <v>300</v>
      </c>
      <c r="BD72" t="s">
        <v>23</v>
      </c>
      <c r="BE72" t="s">
        <v>23</v>
      </c>
      <c r="BG72" t="s">
        <v>31</v>
      </c>
    </row>
    <row r="73" spans="1:62" x14ac:dyDescent="0.25">
      <c r="A73" t="s">
        <v>305</v>
      </c>
      <c r="B73" t="s">
        <v>78</v>
      </c>
      <c r="C73">
        <v>1200</v>
      </c>
      <c r="D73" s="15" t="s">
        <v>304</v>
      </c>
      <c r="E73" t="s">
        <v>306</v>
      </c>
      <c r="H73" s="6"/>
      <c r="Q73" s="2" t="s">
        <v>112</v>
      </c>
      <c r="R73" s="7" t="s">
        <v>307</v>
      </c>
      <c r="S73" s="3">
        <v>30</v>
      </c>
      <c r="Y73" s="21">
        <v>9781734860610</v>
      </c>
      <c r="Z73" s="4" t="s">
        <v>113</v>
      </c>
      <c r="AA73" s="4" t="str">
        <f>R73</f>
        <v>Royal Hawaiian Press</v>
      </c>
      <c r="AB73" s="5">
        <v>9.99</v>
      </c>
      <c r="AH73" s="8">
        <v>9781386745006</v>
      </c>
      <c r="AI73" t="str">
        <f>"covers/" &amp; A73 &amp; ".jpg"</f>
        <v>covers/hyenas-lotuses.jpg</v>
      </c>
      <c r="AY73" s="34" t="s">
        <v>308</v>
      </c>
      <c r="BD73" t="s">
        <v>23</v>
      </c>
      <c r="BE73" t="s">
        <v>23</v>
      </c>
      <c r="BG73" t="s">
        <v>31</v>
      </c>
    </row>
    <row r="74" spans="1:62" x14ac:dyDescent="0.25">
      <c r="A74" t="s">
        <v>312</v>
      </c>
      <c r="B74" t="s">
        <v>78</v>
      </c>
      <c r="C74">
        <v>1300</v>
      </c>
      <c r="D74" s="15" t="s">
        <v>311</v>
      </c>
      <c r="E74" t="s">
        <v>310</v>
      </c>
      <c r="H74" s="6"/>
      <c r="Q74" s="2" t="s">
        <v>112</v>
      </c>
      <c r="R74" s="10" t="s">
        <v>322</v>
      </c>
      <c r="S74" s="3">
        <v>19</v>
      </c>
      <c r="Y74" s="21">
        <v>9781250218018</v>
      </c>
      <c r="Z74" s="4" t="s">
        <v>113</v>
      </c>
      <c r="AA74" s="4" t="s">
        <v>322</v>
      </c>
      <c r="AB74" s="5">
        <v>11.99</v>
      </c>
      <c r="AH74" s="8">
        <v>9781250217981</v>
      </c>
      <c r="AI74" t="str">
        <f>"covers/" &amp; A74 &amp; ".jpg"</f>
        <v>covers/widow-queen.jpg</v>
      </c>
      <c r="AY74" s="34" t="s">
        <v>309</v>
      </c>
      <c r="AZ74" s="38" t="s">
        <v>314</v>
      </c>
      <c r="BA74" t="s">
        <v>315</v>
      </c>
      <c r="BB74" t="s">
        <v>316</v>
      </c>
      <c r="BC74" t="s">
        <v>317</v>
      </c>
      <c r="BD74" t="s">
        <v>23</v>
      </c>
      <c r="BE74" t="s">
        <v>23</v>
      </c>
      <c r="BG74" t="s">
        <v>31</v>
      </c>
      <c r="BI74" t="s">
        <v>313</v>
      </c>
      <c r="BJ74">
        <v>1</v>
      </c>
    </row>
    <row r="75" spans="1:62" x14ac:dyDescent="0.25">
      <c r="A75" t="s">
        <v>319</v>
      </c>
      <c r="B75" t="s">
        <v>78</v>
      </c>
      <c r="C75">
        <v>1350</v>
      </c>
      <c r="D75" s="15" t="s">
        <v>318</v>
      </c>
      <c r="E75" t="s">
        <v>310</v>
      </c>
      <c r="F75" t="s">
        <v>320</v>
      </c>
      <c r="H75" s="6" t="s">
        <v>111</v>
      </c>
      <c r="I75" s="7" t="s">
        <v>322</v>
      </c>
      <c r="J75" s="7">
        <v>28.99</v>
      </c>
      <c r="P75" s="10">
        <v>9781250775740</v>
      </c>
      <c r="Q75" s="2" t="s">
        <v>112</v>
      </c>
      <c r="R75" s="7" t="s">
        <v>322</v>
      </c>
      <c r="S75" s="3">
        <v>20.99</v>
      </c>
      <c r="Y75" s="21">
        <v>9781250775764</v>
      </c>
      <c r="Z75" s="4"/>
      <c r="AA75" s="4"/>
      <c r="AI75" t="str">
        <f>"covers/" &amp; A75 &amp; ".jpg"</f>
        <v>covers/last-crown.jpg</v>
      </c>
      <c r="AY75" s="34" t="s">
        <v>321</v>
      </c>
      <c r="AZ75" s="38" t="s">
        <v>314</v>
      </c>
      <c r="BA75" t="s">
        <v>315</v>
      </c>
      <c r="BB75" t="s">
        <v>316</v>
      </c>
      <c r="BC75" t="s">
        <v>317</v>
      </c>
      <c r="BD75" t="s">
        <v>23</v>
      </c>
      <c r="BE75" t="s">
        <v>23</v>
      </c>
      <c r="BG75" t="s">
        <v>31</v>
      </c>
      <c r="BI75" t="s">
        <v>313</v>
      </c>
      <c r="BJ75">
        <v>2</v>
      </c>
    </row>
    <row r="76" spans="1:62" x14ac:dyDescent="0.25">
      <c r="A76" t="s">
        <v>268</v>
      </c>
      <c r="B76" t="s">
        <v>40</v>
      </c>
      <c r="C76">
        <v>900</v>
      </c>
      <c r="D76" s="15" t="s">
        <v>237</v>
      </c>
      <c r="E76" t="s">
        <v>234</v>
      </c>
      <c r="F76" t="s">
        <v>238</v>
      </c>
      <c r="H76" s="6"/>
      <c r="Q76" s="2" t="s">
        <v>112</v>
      </c>
      <c r="R76" s="7" t="s">
        <v>239</v>
      </c>
      <c r="S76" s="3">
        <v>24.99</v>
      </c>
      <c r="Y76" s="21">
        <v>9781589881846</v>
      </c>
      <c r="Z76" s="4" t="s">
        <v>113</v>
      </c>
      <c r="AA76" s="4" t="s">
        <v>239</v>
      </c>
      <c r="AB76" s="5">
        <v>9.99</v>
      </c>
      <c r="AH76" s="8">
        <v>9781589883802</v>
      </c>
      <c r="AI76" t="str">
        <f t="shared" ref="AI76" si="6">"covers/" &amp; A76 &amp; ".jpg"</f>
        <v>covers/the-homeless.jpg</v>
      </c>
      <c r="AY76" s="34" t="s">
        <v>236</v>
      </c>
      <c r="BD76" t="s">
        <v>23</v>
      </c>
      <c r="BE76" t="s">
        <v>23</v>
      </c>
      <c r="BG76" t="s">
        <v>31</v>
      </c>
    </row>
    <row r="77" spans="1:62" x14ac:dyDescent="0.25">
      <c r="A77" t="s">
        <v>341</v>
      </c>
      <c r="B77" t="s">
        <v>40</v>
      </c>
      <c r="C77">
        <v>725</v>
      </c>
      <c r="D77" s="15" t="s">
        <v>342</v>
      </c>
      <c r="E77" t="s">
        <v>343</v>
      </c>
      <c r="F77" t="s">
        <v>407</v>
      </c>
      <c r="H77" s="6"/>
      <c r="Q77" s="2" t="s">
        <v>112</v>
      </c>
      <c r="R77" s="7" t="s">
        <v>345</v>
      </c>
      <c r="S77" s="3">
        <v>17</v>
      </c>
      <c r="Y77" s="21">
        <v>9780300181678</v>
      </c>
      <c r="Z77" s="4"/>
      <c r="AA77" s="4"/>
      <c r="AI77" t="str">
        <f t="shared" ref="AI77:AI104" si="7">"covers/" &amp; A77 &amp; ".jpg"</f>
        <v>covers/ferdydurke.jpg</v>
      </c>
      <c r="AY77" s="34" t="s">
        <v>344</v>
      </c>
      <c r="AZ77" s="38" t="s">
        <v>346</v>
      </c>
      <c r="BD77" t="s">
        <v>23</v>
      </c>
      <c r="BE77" t="s">
        <v>23</v>
      </c>
      <c r="BG77" t="s">
        <v>31</v>
      </c>
    </row>
    <row r="78" spans="1:62" x14ac:dyDescent="0.25">
      <c r="A78" t="s">
        <v>349</v>
      </c>
      <c r="B78" t="s">
        <v>78</v>
      </c>
      <c r="C78">
        <v>775</v>
      </c>
      <c r="D78" s="15" t="s">
        <v>348</v>
      </c>
      <c r="E78" t="s">
        <v>343</v>
      </c>
      <c r="F78" t="s">
        <v>67</v>
      </c>
      <c r="H78" s="6"/>
      <c r="Q78" s="2" t="s">
        <v>112</v>
      </c>
      <c r="R78" s="7" t="s">
        <v>350</v>
      </c>
      <c r="S78" s="3">
        <v>17</v>
      </c>
      <c r="Y78" s="21">
        <v>9780802162526</v>
      </c>
      <c r="Z78" s="4"/>
      <c r="AA78" s="4"/>
      <c r="AI78" t="str">
        <f t="shared" si="7"/>
        <v>covers/the-possessed.jpg</v>
      </c>
      <c r="AY78" s="34" t="s">
        <v>347</v>
      </c>
      <c r="AZ78" s="38" t="s">
        <v>351</v>
      </c>
      <c r="BD78" t="s">
        <v>23</v>
      </c>
      <c r="BE78" t="s">
        <v>23</v>
      </c>
      <c r="BG78" t="s">
        <v>31</v>
      </c>
    </row>
    <row r="79" spans="1:62" x14ac:dyDescent="0.25">
      <c r="A79" t="s">
        <v>353</v>
      </c>
      <c r="B79" t="s">
        <v>78</v>
      </c>
      <c r="C79">
        <v>345</v>
      </c>
      <c r="D79" s="15" t="s">
        <v>352</v>
      </c>
      <c r="E79" t="s">
        <v>354</v>
      </c>
      <c r="F79" t="s">
        <v>355</v>
      </c>
      <c r="H79" s="6"/>
      <c r="Q79" s="2" t="s">
        <v>112</v>
      </c>
      <c r="R79" s="7" t="s">
        <v>410</v>
      </c>
      <c r="S79" s="3">
        <v>18</v>
      </c>
      <c r="Y79" s="21">
        <v>9780525534204</v>
      </c>
      <c r="Z79" s="4"/>
      <c r="AA79" s="4"/>
      <c r="AI79" t="str">
        <f t="shared" si="7"/>
        <v>covers/flights.jpg</v>
      </c>
      <c r="AY79" s="34" t="s">
        <v>356</v>
      </c>
      <c r="AZ79" s="38" t="s">
        <v>357</v>
      </c>
      <c r="BD79" t="s">
        <v>23</v>
      </c>
      <c r="BE79" t="s">
        <v>23</v>
      </c>
      <c r="BG79" t="s">
        <v>31</v>
      </c>
    </row>
    <row r="80" spans="1:62" x14ac:dyDescent="0.25">
      <c r="A80" t="s">
        <v>404</v>
      </c>
      <c r="B80" t="s">
        <v>78</v>
      </c>
      <c r="C80">
        <v>650</v>
      </c>
      <c r="D80" s="15" t="s">
        <v>405</v>
      </c>
      <c r="E80" t="s">
        <v>406</v>
      </c>
      <c r="F80" t="s">
        <v>320</v>
      </c>
      <c r="H80" s="6"/>
      <c r="Q80" s="2" t="s">
        <v>112</v>
      </c>
      <c r="R80" s="7" t="s">
        <v>409</v>
      </c>
      <c r="S80" s="3">
        <v>15</v>
      </c>
      <c r="Y80" s="21">
        <v>9781628971637</v>
      </c>
      <c r="Z80" s="4"/>
      <c r="AA80" s="4"/>
      <c r="AI80" t="str">
        <f t="shared" si="7"/>
        <v>covers/gestures.jpg</v>
      </c>
      <c r="AY80" s="34" t="s">
        <v>408</v>
      </c>
      <c r="BD80" t="s">
        <v>23</v>
      </c>
      <c r="BE80" t="s">
        <v>23</v>
      </c>
      <c r="BG80" t="s">
        <v>31</v>
      </c>
    </row>
    <row r="81" spans="1:62" x14ac:dyDescent="0.25">
      <c r="A81" t="s">
        <v>414</v>
      </c>
      <c r="B81" t="s">
        <v>78</v>
      </c>
      <c r="C81">
        <v>675</v>
      </c>
      <c r="D81" s="15" t="s">
        <v>415</v>
      </c>
      <c r="E81" t="s">
        <v>416</v>
      </c>
      <c r="F81" t="s">
        <v>355</v>
      </c>
      <c r="H81" s="6"/>
      <c r="Q81" s="2" t="s">
        <v>112</v>
      </c>
      <c r="R81" s="7" t="s">
        <v>413</v>
      </c>
      <c r="S81" s="3">
        <v>15</v>
      </c>
      <c r="Y81" s="21">
        <v>9781945492235</v>
      </c>
      <c r="Z81" s="4"/>
      <c r="AA81" s="4"/>
      <c r="AI81" t="str">
        <f t="shared" si="7"/>
        <v>covers/accommodations.jpg</v>
      </c>
      <c r="AY81" s="34" t="s">
        <v>411</v>
      </c>
      <c r="AZ81" s="38" t="s">
        <v>412</v>
      </c>
      <c r="BD81" t="s">
        <v>23</v>
      </c>
      <c r="BE81" t="s">
        <v>23</v>
      </c>
      <c r="BG81" t="s">
        <v>31</v>
      </c>
    </row>
    <row r="82" spans="1:62" x14ac:dyDescent="0.25">
      <c r="A82" t="s">
        <v>417</v>
      </c>
      <c r="B82" t="s">
        <v>78</v>
      </c>
      <c r="C82">
        <v>677</v>
      </c>
      <c r="D82" s="15" t="s">
        <v>418</v>
      </c>
      <c r="E82" t="s">
        <v>416</v>
      </c>
      <c r="F82" t="s">
        <v>421</v>
      </c>
      <c r="H82" s="6"/>
      <c r="Q82" s="2" t="s">
        <v>112</v>
      </c>
      <c r="R82" s="7" t="s">
        <v>413</v>
      </c>
      <c r="S82" s="3">
        <v>20</v>
      </c>
      <c r="Y82" s="21">
        <v>9781945492044</v>
      </c>
      <c r="Z82" s="4"/>
      <c r="AA82" s="4"/>
      <c r="AI82" t="str">
        <f t="shared" si="7"/>
        <v>covers/swallowing-mercury.jpg</v>
      </c>
      <c r="AY82" s="34" t="s">
        <v>420</v>
      </c>
      <c r="AZ82" s="38" t="s">
        <v>419</v>
      </c>
      <c r="BD82" t="s">
        <v>23</v>
      </c>
      <c r="BE82" t="s">
        <v>23</v>
      </c>
      <c r="BG82" t="s">
        <v>31</v>
      </c>
    </row>
    <row r="83" spans="1:62" x14ac:dyDescent="0.25">
      <c r="A83" t="s">
        <v>422</v>
      </c>
      <c r="B83" t="s">
        <v>78</v>
      </c>
      <c r="C83">
        <v>576</v>
      </c>
      <c r="D83" s="15" t="s">
        <v>623</v>
      </c>
      <c r="E83" t="s">
        <v>423</v>
      </c>
      <c r="F83" t="s">
        <v>238</v>
      </c>
      <c r="H83" s="6"/>
      <c r="Q83" s="2" t="s">
        <v>112</v>
      </c>
      <c r="R83" s="7" t="s">
        <v>425</v>
      </c>
      <c r="Y83" s="21">
        <v>9781589880900</v>
      </c>
      <c r="Z83" s="4"/>
      <c r="AA83" s="4"/>
      <c r="AI83" t="str">
        <f t="shared" si="7"/>
        <v>covers/stone-tablets.jpg</v>
      </c>
      <c r="AY83" s="34" t="s">
        <v>424</v>
      </c>
      <c r="BD83" t="s">
        <v>23</v>
      </c>
      <c r="BE83" t="s">
        <v>23</v>
      </c>
      <c r="BG83" t="s">
        <v>31</v>
      </c>
    </row>
    <row r="84" spans="1:62" x14ac:dyDescent="0.25">
      <c r="A84" t="s">
        <v>426</v>
      </c>
      <c r="B84" t="s">
        <v>78</v>
      </c>
      <c r="C84">
        <v>625</v>
      </c>
      <c r="D84" s="15" t="s">
        <v>431</v>
      </c>
      <c r="E84" s="15" t="s">
        <v>430</v>
      </c>
      <c r="F84" t="s">
        <v>373</v>
      </c>
      <c r="H84" s="6"/>
      <c r="Q84" s="2" t="s">
        <v>112</v>
      </c>
      <c r="R84" s="7" t="s">
        <v>429</v>
      </c>
      <c r="S84" s="3">
        <v>17</v>
      </c>
      <c r="Y84" s="21">
        <v>9780802160430</v>
      </c>
      <c r="Z84" s="4" t="s">
        <v>113</v>
      </c>
      <c r="AA84" s="4" t="s">
        <v>429</v>
      </c>
      <c r="AB84" s="5">
        <v>9.99</v>
      </c>
      <c r="AH84" s="8">
        <v>9780802162236</v>
      </c>
      <c r="AI84" t="str">
        <f t="shared" si="7"/>
        <v>covers/beautiful-mrs-seidenman.jpg</v>
      </c>
      <c r="AY84" s="34" t="s">
        <v>427</v>
      </c>
      <c r="AZ84" s="38" t="s">
        <v>428</v>
      </c>
      <c r="BD84" t="s">
        <v>23</v>
      </c>
      <c r="BE84" t="s">
        <v>23</v>
      </c>
      <c r="BG84" t="s">
        <v>31</v>
      </c>
    </row>
    <row r="85" spans="1:62" x14ac:dyDescent="0.25">
      <c r="A85" t="s">
        <v>433</v>
      </c>
      <c r="B85" t="s">
        <v>215</v>
      </c>
      <c r="C85">
        <v>750</v>
      </c>
      <c r="D85" s="15" t="s">
        <v>434</v>
      </c>
      <c r="E85" t="s">
        <v>435</v>
      </c>
      <c r="F85" t="s">
        <v>421</v>
      </c>
      <c r="H85" s="6"/>
      <c r="Q85" s="2" t="s">
        <v>112</v>
      </c>
      <c r="R85" s="7" t="s">
        <v>436</v>
      </c>
      <c r="S85" s="3">
        <v>15</v>
      </c>
      <c r="Y85" s="21">
        <v>9781782695141</v>
      </c>
      <c r="Z85" s="4"/>
      <c r="AA85" s="4"/>
      <c r="AI85" t="str">
        <f t="shared" si="7"/>
        <v>covers/nosegood-investigates.jpg</v>
      </c>
      <c r="AY85" s="37" t="s">
        <v>432</v>
      </c>
      <c r="BD85" t="s">
        <v>23</v>
      </c>
      <c r="BE85" t="s">
        <v>23</v>
      </c>
      <c r="BG85" t="s">
        <v>31</v>
      </c>
    </row>
    <row r="86" spans="1:62" x14ac:dyDescent="0.25">
      <c r="A86" t="s">
        <v>439</v>
      </c>
      <c r="B86" t="s">
        <v>74</v>
      </c>
      <c r="C86">
        <v>800</v>
      </c>
      <c r="D86" s="15" t="s">
        <v>438</v>
      </c>
      <c r="E86" t="s">
        <v>485</v>
      </c>
      <c r="F86" t="s">
        <v>67</v>
      </c>
      <c r="H86" s="6"/>
      <c r="Q86" s="2" t="s">
        <v>112</v>
      </c>
      <c r="R86" s="7" t="s">
        <v>447</v>
      </c>
      <c r="S86" s="3">
        <v>19</v>
      </c>
      <c r="Y86" s="21">
        <v>9780143129752</v>
      </c>
      <c r="Z86" s="4"/>
      <c r="AA86" s="4"/>
      <c r="AI86" t="str">
        <f t="shared" si="7"/>
        <v>covers/feed-dictator.jpg</v>
      </c>
      <c r="AY86" s="34" t="s">
        <v>441</v>
      </c>
      <c r="AZ86" s="38" t="s">
        <v>440</v>
      </c>
      <c r="BD86" t="s">
        <v>23</v>
      </c>
      <c r="BE86" t="s">
        <v>23</v>
      </c>
      <c r="BG86" t="s">
        <v>31</v>
      </c>
    </row>
    <row r="87" spans="1:62" x14ac:dyDescent="0.25">
      <c r="A87" t="s">
        <v>444</v>
      </c>
      <c r="B87" t="s">
        <v>74</v>
      </c>
      <c r="C87">
        <v>810</v>
      </c>
      <c r="D87" s="15" t="s">
        <v>442</v>
      </c>
      <c r="E87" t="s">
        <v>443</v>
      </c>
      <c r="F87" t="s">
        <v>67</v>
      </c>
      <c r="H87" s="6"/>
      <c r="Q87" s="2" t="s">
        <v>112</v>
      </c>
      <c r="R87" s="7" t="s">
        <v>448</v>
      </c>
      <c r="S87" s="3">
        <v>20</v>
      </c>
      <c r="Y87" s="21">
        <v>9781805330011</v>
      </c>
      <c r="Z87" s="4"/>
      <c r="AA87" s="4"/>
      <c r="AI87" t="str">
        <f t="shared" si="7"/>
        <v>covers/city-lions.jpg</v>
      </c>
      <c r="AY87" s="34" t="s">
        <v>445</v>
      </c>
      <c r="AZ87" s="38" t="s">
        <v>446</v>
      </c>
      <c r="BD87" t="s">
        <v>23</v>
      </c>
      <c r="BE87" t="s">
        <v>23</v>
      </c>
      <c r="BG87" t="s">
        <v>31</v>
      </c>
    </row>
    <row r="88" spans="1:62" ht="16.149999999999999" customHeight="1" x14ac:dyDescent="0.25">
      <c r="A88" t="s">
        <v>449</v>
      </c>
      <c r="B88" t="s">
        <v>74</v>
      </c>
      <c r="C88">
        <v>820</v>
      </c>
      <c r="D88" s="15" t="s">
        <v>450</v>
      </c>
      <c r="E88" t="s">
        <v>451</v>
      </c>
      <c r="F88" t="s">
        <v>67</v>
      </c>
      <c r="H88" s="6"/>
      <c r="Q88" s="2" t="s">
        <v>112</v>
      </c>
      <c r="R88" s="7" t="s">
        <v>452</v>
      </c>
      <c r="S88" s="3">
        <v>16</v>
      </c>
      <c r="Y88" s="21">
        <v>9781948830508</v>
      </c>
      <c r="Z88" s="4"/>
      <c r="AA88" s="4"/>
      <c r="AI88" t="str">
        <f t="shared" si="7"/>
        <v>covers/roosters-dogs.jpg</v>
      </c>
      <c r="AY88" s="34" t="s">
        <v>453</v>
      </c>
      <c r="AZ88" s="38" t="s">
        <v>454</v>
      </c>
      <c r="BD88" t="s">
        <v>23</v>
      </c>
      <c r="BE88" t="s">
        <v>23</v>
      </c>
      <c r="BG88" t="s">
        <v>31</v>
      </c>
    </row>
    <row r="89" spans="1:62" x14ac:dyDescent="0.25">
      <c r="A89" t="s">
        <v>455</v>
      </c>
      <c r="B89" t="s">
        <v>78</v>
      </c>
      <c r="C89">
        <v>930</v>
      </c>
      <c r="D89" s="15" t="s">
        <v>458</v>
      </c>
      <c r="E89" t="s">
        <v>459</v>
      </c>
      <c r="F89" t="s">
        <v>67</v>
      </c>
      <c r="H89" s="6"/>
      <c r="Q89" s="2" t="s">
        <v>112</v>
      </c>
      <c r="R89" s="7" t="s">
        <v>460</v>
      </c>
      <c r="S89" s="3">
        <v>16</v>
      </c>
      <c r="Y89" s="21">
        <v>9780857057143</v>
      </c>
      <c r="Z89" s="4"/>
      <c r="AA89" s="4"/>
      <c r="AI89" t="str">
        <f t="shared" si="7"/>
        <v>covers/stained-glass.jpg</v>
      </c>
      <c r="AY89" s="34" t="s">
        <v>456</v>
      </c>
      <c r="AZ89" s="38" t="s">
        <v>457</v>
      </c>
      <c r="BD89" t="s">
        <v>23</v>
      </c>
      <c r="BE89" t="s">
        <v>23</v>
      </c>
      <c r="BG89" t="s">
        <v>31</v>
      </c>
    </row>
    <row r="90" spans="1:62" x14ac:dyDescent="0.25">
      <c r="A90" t="s">
        <v>462</v>
      </c>
      <c r="B90" t="s">
        <v>74</v>
      </c>
      <c r="D90" s="20" t="s">
        <v>461</v>
      </c>
      <c r="E90" t="s">
        <v>463</v>
      </c>
      <c r="F90" t="s">
        <v>67</v>
      </c>
      <c r="H90" s="6"/>
      <c r="Q90" s="2" t="s">
        <v>112</v>
      </c>
      <c r="R90" s="7" t="s">
        <v>464</v>
      </c>
      <c r="S90" s="3">
        <v>50</v>
      </c>
      <c r="Y90" s="21">
        <v>9781781680810</v>
      </c>
      <c r="Z90" s="4" t="s">
        <v>113</v>
      </c>
      <c r="AA90" s="4" t="s">
        <v>464</v>
      </c>
      <c r="AB90" s="5">
        <v>20</v>
      </c>
      <c r="AH90" s="8">
        <v>9781781684061</v>
      </c>
      <c r="AI90" t="str">
        <f t="shared" si="7"/>
        <v>covers/ryszard-k-a-life.jpg</v>
      </c>
      <c r="AY90" s="34" t="s">
        <v>465</v>
      </c>
      <c r="AZ90" s="38" t="s">
        <v>466</v>
      </c>
      <c r="BD90" t="s">
        <v>23</v>
      </c>
      <c r="BE90" t="s">
        <v>23</v>
      </c>
      <c r="BG90" t="s">
        <v>31</v>
      </c>
    </row>
    <row r="91" spans="1:62" x14ac:dyDescent="0.25">
      <c r="A91" t="s">
        <v>467</v>
      </c>
      <c r="B91" t="s">
        <v>78</v>
      </c>
      <c r="C91">
        <v>970</v>
      </c>
      <c r="D91" s="15" t="s">
        <v>468</v>
      </c>
      <c r="E91" t="s">
        <v>200</v>
      </c>
      <c r="F91" t="s">
        <v>67</v>
      </c>
      <c r="H91" s="6"/>
      <c r="Q91" s="2" t="s">
        <v>112</v>
      </c>
      <c r="R91" s="7" t="s">
        <v>471</v>
      </c>
      <c r="S91" s="3">
        <v>17</v>
      </c>
      <c r="Y91" s="21">
        <v>9780192855565</v>
      </c>
      <c r="Z91" s="4" t="s">
        <v>113</v>
      </c>
      <c r="AA91" s="4" t="str">
        <f>R91</f>
        <v>Oxford University Press</v>
      </c>
      <c r="AB91" s="5">
        <v>11</v>
      </c>
      <c r="AH91" s="8">
        <v>9780192668080</v>
      </c>
      <c r="AI91" t="str">
        <f t="shared" si="7"/>
        <v>covers/warsaw-tales.jpg</v>
      </c>
      <c r="AY91" s="34" t="s">
        <v>469</v>
      </c>
      <c r="AZ91" s="38" t="s">
        <v>470</v>
      </c>
      <c r="BD91" t="s">
        <v>23</v>
      </c>
      <c r="BE91" t="s">
        <v>23</v>
      </c>
      <c r="BG91" t="s">
        <v>31</v>
      </c>
    </row>
    <row r="92" spans="1:62" x14ac:dyDescent="0.25">
      <c r="A92" t="s">
        <v>477</v>
      </c>
      <c r="B92" t="s">
        <v>301</v>
      </c>
      <c r="C92">
        <v>920</v>
      </c>
      <c r="D92" s="15" t="s">
        <v>478</v>
      </c>
      <c r="E92" t="s">
        <v>479</v>
      </c>
      <c r="F92" t="s">
        <v>67</v>
      </c>
      <c r="H92" s="6"/>
      <c r="Q92" s="2" t="s">
        <v>112</v>
      </c>
      <c r="R92" s="7" t="s">
        <v>480</v>
      </c>
      <c r="S92" s="3">
        <v>16</v>
      </c>
      <c r="Y92" s="21">
        <v>9780358161462</v>
      </c>
      <c r="Z92" s="4"/>
      <c r="AA92" s="4"/>
      <c r="AI92" t="str">
        <f t="shared" si="7"/>
        <v>covers/mohr-missing.jpg</v>
      </c>
      <c r="AY92" s="34" t="s">
        <v>481</v>
      </c>
      <c r="AZ92" s="38" t="s">
        <v>482</v>
      </c>
      <c r="BD92" t="s">
        <v>23</v>
      </c>
      <c r="BE92" t="s">
        <v>23</v>
      </c>
      <c r="BG92" t="s">
        <v>31</v>
      </c>
      <c r="BI92" t="s">
        <v>629</v>
      </c>
      <c r="BJ92">
        <v>1</v>
      </c>
    </row>
    <row r="93" spans="1:62" x14ac:dyDescent="0.25">
      <c r="A93" t="s">
        <v>484</v>
      </c>
      <c r="B93" t="s">
        <v>74</v>
      </c>
      <c r="C93">
        <v>943</v>
      </c>
      <c r="D93" s="15" t="s">
        <v>483</v>
      </c>
      <c r="E93" t="s">
        <v>485</v>
      </c>
      <c r="F93" t="s">
        <v>67</v>
      </c>
      <c r="H93" s="6"/>
      <c r="Q93" s="2" t="s">
        <v>112</v>
      </c>
      <c r="R93" s="7" t="s">
        <v>447</v>
      </c>
      <c r="S93" s="3">
        <v>20</v>
      </c>
      <c r="Y93" s="21">
        <v>9780143137184</v>
      </c>
      <c r="Z93" s="4"/>
      <c r="AA93" s="4"/>
      <c r="AI93" t="str">
        <f t="shared" si="7"/>
        <v>covers/cooking-kremlin.jpg</v>
      </c>
      <c r="AY93" s="34" t="s">
        <v>487</v>
      </c>
      <c r="AZ93" s="38" t="s">
        <v>486</v>
      </c>
      <c r="BD93" t="s">
        <v>23</v>
      </c>
      <c r="BE93" t="s">
        <v>23</v>
      </c>
      <c r="BG93" t="s">
        <v>31</v>
      </c>
    </row>
    <row r="94" spans="1:62" x14ac:dyDescent="0.25">
      <c r="A94" t="s">
        <v>488</v>
      </c>
      <c r="B94" t="s">
        <v>215</v>
      </c>
      <c r="C94">
        <v>970</v>
      </c>
      <c r="D94" s="15" t="s">
        <v>489</v>
      </c>
      <c r="E94" t="s">
        <v>490</v>
      </c>
      <c r="F94" t="s">
        <v>492</v>
      </c>
      <c r="H94" s="6"/>
      <c r="Q94" s="2" t="s">
        <v>112</v>
      </c>
      <c r="R94" s="7" t="s">
        <v>493</v>
      </c>
      <c r="S94" s="3">
        <v>24</v>
      </c>
      <c r="Y94" s="21">
        <v>9781565124424</v>
      </c>
      <c r="Z94" s="4"/>
      <c r="AA94" s="4"/>
      <c r="AI94" t="str">
        <f t="shared" si="7"/>
        <v>covers/matt-the-first.jpg</v>
      </c>
      <c r="AY94" s="34" t="s">
        <v>491</v>
      </c>
      <c r="BD94" t="s">
        <v>23</v>
      </c>
      <c r="BE94" t="s">
        <v>23</v>
      </c>
      <c r="BG94" t="s">
        <v>31</v>
      </c>
    </row>
    <row r="95" spans="1:62" x14ac:dyDescent="0.25">
      <c r="A95" t="s">
        <v>495</v>
      </c>
      <c r="B95" t="s">
        <v>215</v>
      </c>
      <c r="C95">
        <v>555</v>
      </c>
      <c r="D95" s="15" t="s">
        <v>494</v>
      </c>
      <c r="E95" t="s">
        <v>490</v>
      </c>
      <c r="F95" t="s">
        <v>67</v>
      </c>
      <c r="H95" s="6" t="s">
        <v>111</v>
      </c>
      <c r="I95" s="7" t="s">
        <v>498</v>
      </c>
      <c r="J95" s="7">
        <v>17.95</v>
      </c>
      <c r="P95" s="10">
        <v>9780983868507</v>
      </c>
      <c r="Z95" s="4"/>
      <c r="AA95" s="4"/>
      <c r="AI95" t="str">
        <f t="shared" si="7"/>
        <v>covers/kaytek-wizard.jpg</v>
      </c>
      <c r="AY95" s="34" t="s">
        <v>496</v>
      </c>
      <c r="AZ95" s="38" t="s">
        <v>497</v>
      </c>
      <c r="BD95" t="s">
        <v>23</v>
      </c>
      <c r="BE95" t="s">
        <v>23</v>
      </c>
      <c r="BG95" t="s">
        <v>31</v>
      </c>
    </row>
    <row r="96" spans="1:62" x14ac:dyDescent="0.25">
      <c r="A96" t="s">
        <v>505</v>
      </c>
      <c r="B96" t="s">
        <v>74</v>
      </c>
      <c r="C96">
        <v>933</v>
      </c>
      <c r="D96" s="15" t="s">
        <v>499</v>
      </c>
      <c r="E96" t="s">
        <v>500</v>
      </c>
      <c r="F96" t="s">
        <v>504</v>
      </c>
      <c r="H96" s="6"/>
      <c r="Q96" s="2" t="s">
        <v>112</v>
      </c>
      <c r="R96" s="7" t="s">
        <v>501</v>
      </c>
      <c r="S96" s="3">
        <v>17.95</v>
      </c>
      <c r="Y96" s="21">
        <v>9781590176658</v>
      </c>
      <c r="Z96" s="4"/>
      <c r="AA96" s="4"/>
      <c r="AI96" t="str">
        <f t="shared" si="7"/>
        <v>covers/miron-memoir.jpg</v>
      </c>
      <c r="AY96" s="34" t="s">
        <v>503</v>
      </c>
      <c r="AZ96" s="38" t="s">
        <v>502</v>
      </c>
      <c r="BD96" t="s">
        <v>23</v>
      </c>
      <c r="BE96" t="s">
        <v>23</v>
      </c>
      <c r="BG96" t="s">
        <v>31</v>
      </c>
    </row>
    <row r="97" spans="1:59" x14ac:dyDescent="0.25">
      <c r="A97" t="s">
        <v>507</v>
      </c>
      <c r="B97" t="s">
        <v>74</v>
      </c>
      <c r="C97">
        <v>1020</v>
      </c>
      <c r="D97" s="15" t="s">
        <v>506</v>
      </c>
      <c r="E97" t="s">
        <v>508</v>
      </c>
      <c r="F97" t="s">
        <v>67</v>
      </c>
      <c r="H97" s="6"/>
      <c r="Q97" s="2" t="s">
        <v>112</v>
      </c>
      <c r="R97" s="7" t="s">
        <v>501</v>
      </c>
      <c r="Y97" s="21">
        <v>9781681372563</v>
      </c>
      <c r="Z97" s="4"/>
      <c r="AA97" s="4"/>
      <c r="AI97" t="str">
        <f t="shared" si="7"/>
        <v>covers/inhuman-land.jpg</v>
      </c>
      <c r="AY97" s="34" t="s">
        <v>510</v>
      </c>
      <c r="AZ97" s="38" t="s">
        <v>509</v>
      </c>
      <c r="BD97" t="s">
        <v>23</v>
      </c>
      <c r="BE97" t="s">
        <v>23</v>
      </c>
      <c r="BG97" t="s">
        <v>31</v>
      </c>
    </row>
    <row r="98" spans="1:59" x14ac:dyDescent="0.25">
      <c r="A98" t="s">
        <v>472</v>
      </c>
      <c r="B98" t="s">
        <v>74</v>
      </c>
      <c r="C98">
        <v>955</v>
      </c>
      <c r="D98" s="15" t="s">
        <v>622</v>
      </c>
      <c r="E98" t="s">
        <v>473</v>
      </c>
      <c r="F98" t="s">
        <v>67</v>
      </c>
      <c r="H98" s="6" t="s">
        <v>111</v>
      </c>
      <c r="I98" s="7" t="s">
        <v>474</v>
      </c>
      <c r="J98" s="7">
        <v>28</v>
      </c>
      <c r="P98" s="10">
        <v>9781632062833</v>
      </c>
      <c r="Q98" s="2"/>
      <c r="R98" s="7"/>
      <c r="Z98" s="4"/>
      <c r="AA98" s="4"/>
      <c r="AI98" t="str">
        <f t="shared" si="7"/>
        <v>covers/mud-sweeter.jpg</v>
      </c>
      <c r="AY98" s="35" t="s">
        <v>476</v>
      </c>
      <c r="AZ98" s="38" t="s">
        <v>475</v>
      </c>
      <c r="BD98" t="s">
        <v>23</v>
      </c>
      <c r="BE98" t="s">
        <v>23</v>
      </c>
      <c r="BG98" t="s">
        <v>31</v>
      </c>
    </row>
    <row r="99" spans="1:59" x14ac:dyDescent="0.25">
      <c r="A99" t="s">
        <v>512</v>
      </c>
      <c r="B99" t="s">
        <v>78</v>
      </c>
      <c r="C99">
        <v>467</v>
      </c>
      <c r="D99" s="15" t="s">
        <v>511</v>
      </c>
      <c r="E99" t="s">
        <v>354</v>
      </c>
      <c r="F99" t="s">
        <v>67</v>
      </c>
      <c r="H99" s="6" t="s">
        <v>111</v>
      </c>
      <c r="I99" s="7" t="s">
        <v>410</v>
      </c>
      <c r="J99" s="7">
        <v>28</v>
      </c>
      <c r="P99" s="10">
        <v>9780593716380</v>
      </c>
      <c r="Q99" s="2"/>
      <c r="R99" s="7"/>
      <c r="Z99" s="4"/>
      <c r="AA99" s="4"/>
      <c r="AI99" t="str">
        <f t="shared" si="7"/>
        <v>covers/house-of-day.jpg</v>
      </c>
      <c r="AY99" s="34" t="s">
        <v>514</v>
      </c>
      <c r="AZ99" s="38" t="s">
        <v>513</v>
      </c>
      <c r="BD99" t="s">
        <v>23</v>
      </c>
      <c r="BE99" t="s">
        <v>23</v>
      </c>
      <c r="BG99" t="s">
        <v>31</v>
      </c>
    </row>
    <row r="100" spans="1:59" x14ac:dyDescent="0.25">
      <c r="A100" t="s">
        <v>515</v>
      </c>
      <c r="B100" t="str">
        <f>B98</f>
        <v>Non-fiction</v>
      </c>
      <c r="C100">
        <v>493</v>
      </c>
      <c r="D100" s="15" t="s">
        <v>516</v>
      </c>
      <c r="E100" t="s">
        <v>517</v>
      </c>
      <c r="F100" t="s">
        <v>67</v>
      </c>
      <c r="H100" s="6"/>
      <c r="Q100" s="2" t="s">
        <v>112</v>
      </c>
      <c r="R100" s="7" t="s">
        <v>520</v>
      </c>
      <c r="S100" s="3">
        <v>27.95</v>
      </c>
      <c r="Y100" s="21">
        <v>9781953943705</v>
      </c>
      <c r="Z100" s="4"/>
      <c r="AA100" s="4"/>
      <c r="AI100" t="str">
        <f t="shared" si="7"/>
        <v>covers/garden-memory.jpg</v>
      </c>
      <c r="AY100" s="34" t="s">
        <v>518</v>
      </c>
      <c r="AZ100" s="38" t="s">
        <v>519</v>
      </c>
      <c r="BD100" t="s">
        <v>23</v>
      </c>
      <c r="BE100" t="s">
        <v>23</v>
      </c>
      <c r="BG100" t="s">
        <v>31</v>
      </c>
    </row>
    <row r="101" spans="1:59" x14ac:dyDescent="0.25">
      <c r="A101" t="s">
        <v>522</v>
      </c>
      <c r="B101" t="s">
        <v>78</v>
      </c>
      <c r="C101">
        <v>666</v>
      </c>
      <c r="D101" s="15" t="s">
        <v>521</v>
      </c>
      <c r="E101" t="s">
        <v>523</v>
      </c>
      <c r="F101" t="s">
        <v>524</v>
      </c>
      <c r="H101" s="6"/>
      <c r="Q101" s="2" t="s">
        <v>112</v>
      </c>
      <c r="R101" s="7" t="s">
        <v>525</v>
      </c>
      <c r="S101" s="3">
        <v>16</v>
      </c>
      <c r="Y101" s="21">
        <v>9781939931115</v>
      </c>
      <c r="Z101" s="4"/>
      <c r="AA101" s="4"/>
      <c r="AI101" t="str">
        <f t="shared" si="7"/>
        <v>covers/killing-dog.jpg</v>
      </c>
      <c r="AJ101">
        <v>2014</v>
      </c>
      <c r="AY101" s="34" t="s">
        <v>526</v>
      </c>
      <c r="AZ101" s="38" t="s">
        <v>527</v>
      </c>
      <c r="BD101" t="s">
        <v>23</v>
      </c>
      <c r="BE101" t="s">
        <v>23</v>
      </c>
      <c r="BG101" t="s">
        <v>31</v>
      </c>
    </row>
    <row r="102" spans="1:59" x14ac:dyDescent="0.25">
      <c r="A102" t="s">
        <v>528</v>
      </c>
      <c r="B102" t="s">
        <v>78</v>
      </c>
      <c r="C102">
        <v>780</v>
      </c>
      <c r="D102" s="15" t="s">
        <v>529</v>
      </c>
      <c r="E102" t="s">
        <v>523</v>
      </c>
      <c r="F102" t="s">
        <v>524</v>
      </c>
      <c r="H102" s="6"/>
      <c r="Q102" s="2" t="s">
        <v>112</v>
      </c>
      <c r="R102" s="7" t="s">
        <v>525</v>
      </c>
      <c r="S102" s="3">
        <v>16</v>
      </c>
      <c r="Y102" s="21">
        <v>9781939931122</v>
      </c>
      <c r="Z102" s="4" t="s">
        <v>113</v>
      </c>
      <c r="AA102" s="4" t="str">
        <f>R102</f>
        <v>New Vessel Press</v>
      </c>
      <c r="AB102" s="5">
        <v>9.06</v>
      </c>
      <c r="AH102" s="8">
        <v>9781939931184</v>
      </c>
      <c r="AI102" t="str">
        <f t="shared" si="7"/>
        <v>covers/all-backs.jpg</v>
      </c>
      <c r="AJ102">
        <v>2014</v>
      </c>
      <c r="AY102" s="34" t="s">
        <v>531</v>
      </c>
      <c r="AZ102" s="38" t="s">
        <v>530</v>
      </c>
      <c r="BD102" t="s">
        <v>23</v>
      </c>
      <c r="BE102" t="s">
        <v>23</v>
      </c>
      <c r="BG102" t="s">
        <v>31</v>
      </c>
    </row>
    <row r="103" spans="1:59" x14ac:dyDescent="0.25">
      <c r="A103" t="s">
        <v>537</v>
      </c>
      <c r="B103" t="s">
        <v>78</v>
      </c>
      <c r="C103">
        <v>810</v>
      </c>
      <c r="D103" s="15" t="s">
        <v>532</v>
      </c>
      <c r="E103" t="s">
        <v>523</v>
      </c>
      <c r="F103" t="s">
        <v>533</v>
      </c>
      <c r="H103" s="6"/>
      <c r="Q103" s="2" t="s">
        <v>112</v>
      </c>
      <c r="R103" s="7" t="s">
        <v>534</v>
      </c>
      <c r="S103" s="3">
        <v>35</v>
      </c>
      <c r="Y103" s="23">
        <v>9780875806976</v>
      </c>
      <c r="Z103" s="4" t="s">
        <v>113</v>
      </c>
      <c r="AA103" s="4" t="str">
        <f t="shared" ref="AA103:AA104" si="8">R103</f>
        <v>Northern Illinois University Press</v>
      </c>
      <c r="AB103" s="5">
        <v>17</v>
      </c>
      <c r="AH103" s="8">
        <v>9781609090951</v>
      </c>
      <c r="AI103" t="str">
        <f t="shared" si="7"/>
        <v>covers/beautiful-twentysomethings.jpg</v>
      </c>
      <c r="AY103" s="34" t="s">
        <v>536</v>
      </c>
      <c r="AZ103" s="38" t="s">
        <v>535</v>
      </c>
      <c r="BD103" t="s">
        <v>23</v>
      </c>
      <c r="BE103" t="s">
        <v>23</v>
      </c>
      <c r="BG103" t="s">
        <v>31</v>
      </c>
    </row>
    <row r="104" spans="1:59" x14ac:dyDescent="0.25">
      <c r="A104" t="s">
        <v>538</v>
      </c>
      <c r="B104" t="s">
        <v>78</v>
      </c>
      <c r="C104">
        <v>880</v>
      </c>
      <c r="D104" s="15" t="s">
        <v>539</v>
      </c>
      <c r="E104" t="s">
        <v>540</v>
      </c>
      <c r="F104" t="s">
        <v>67</v>
      </c>
      <c r="H104" s="6"/>
      <c r="Q104" s="2" t="s">
        <v>112</v>
      </c>
      <c r="R104" s="7" t="s">
        <v>541</v>
      </c>
      <c r="S104" s="3">
        <v>24</v>
      </c>
      <c r="Z104" s="4" t="s">
        <v>113</v>
      </c>
      <c r="AA104" s="4" t="str">
        <f t="shared" si="8"/>
        <v>Seven Stories Press</v>
      </c>
      <c r="AB104" s="5">
        <v>17</v>
      </c>
      <c r="AH104" s="8">
        <v>9781644210178</v>
      </c>
      <c r="AI104" t="str">
        <f t="shared" si="7"/>
        <v>covers/laras-wars.jpg</v>
      </c>
      <c r="AY104" s="34" t="s">
        <v>543</v>
      </c>
      <c r="AZ104" s="38" t="s">
        <v>542</v>
      </c>
      <c r="BD104" t="s">
        <v>23</v>
      </c>
      <c r="BE104" t="s">
        <v>23</v>
      </c>
      <c r="BG104" t="s">
        <v>31</v>
      </c>
    </row>
    <row r="105" spans="1:59" x14ac:dyDescent="0.25">
      <c r="A105" t="s">
        <v>548</v>
      </c>
      <c r="B105" t="s">
        <v>78</v>
      </c>
      <c r="C105">
        <v>1230</v>
      </c>
      <c r="D105" s="15" t="s">
        <v>544</v>
      </c>
      <c r="E105" t="s">
        <v>545</v>
      </c>
      <c r="F105" t="s">
        <v>67</v>
      </c>
      <c r="H105" s="6"/>
      <c r="Q105" s="2" t="s">
        <v>112</v>
      </c>
      <c r="R105" s="7" t="s">
        <v>541</v>
      </c>
      <c r="S105" s="3">
        <v>18</v>
      </c>
      <c r="Y105" s="21">
        <v>9781644213759</v>
      </c>
      <c r="Z105" s="4" t="s">
        <v>113</v>
      </c>
      <c r="AA105" s="4" t="str">
        <f t="shared" ref="AA105:AA106" si="9">R105</f>
        <v>Seven Stories Press</v>
      </c>
      <c r="AB105" s="5">
        <v>12</v>
      </c>
      <c r="AH105" s="8">
        <v>9781644213766</v>
      </c>
      <c r="AI105" t="str">
        <f t="shared" ref="AI105:AI133" si="10">"covers/" &amp; A105 &amp; ".jpg"</f>
        <v>covers/little-beauty.jpg</v>
      </c>
      <c r="AY105" s="34" t="s">
        <v>547</v>
      </c>
      <c r="AZ105" s="38" t="s">
        <v>546</v>
      </c>
      <c r="BD105" t="s">
        <v>23</v>
      </c>
      <c r="BE105" t="s">
        <v>23</v>
      </c>
      <c r="BG105" t="s">
        <v>31</v>
      </c>
    </row>
    <row r="106" spans="1:59" x14ac:dyDescent="0.25">
      <c r="A106" t="s">
        <v>553</v>
      </c>
      <c r="B106" t="s">
        <v>74</v>
      </c>
      <c r="C106">
        <v>1230</v>
      </c>
      <c r="D106" s="15" t="s">
        <v>549</v>
      </c>
      <c r="E106" t="s">
        <v>508</v>
      </c>
      <c r="F106" t="s">
        <v>550</v>
      </c>
      <c r="H106" s="6"/>
      <c r="Q106" s="2" t="s">
        <v>112</v>
      </c>
      <c r="R106" s="7" t="s">
        <v>501</v>
      </c>
      <c r="S106" s="3">
        <v>17</v>
      </c>
      <c r="Y106" s="21">
        <v>9781681372587</v>
      </c>
      <c r="Z106" s="4" t="s">
        <v>113</v>
      </c>
      <c r="AA106" s="4" t="str">
        <f t="shared" si="9"/>
        <v>NYRB Classics</v>
      </c>
      <c r="AB106" s="5">
        <v>10</v>
      </c>
      <c r="AH106" s="8">
        <v>9781681372594</v>
      </c>
      <c r="AI106" t="str">
        <f t="shared" si="10"/>
        <v>covers/lectures-proust.jpg</v>
      </c>
      <c r="AY106" s="34" t="s">
        <v>551</v>
      </c>
      <c r="AZ106" s="38" t="s">
        <v>552</v>
      </c>
      <c r="BD106" t="s">
        <v>23</v>
      </c>
      <c r="BE106" t="s">
        <v>23</v>
      </c>
      <c r="BG106" t="s">
        <v>31</v>
      </c>
    </row>
    <row r="107" spans="1:59" x14ac:dyDescent="0.25">
      <c r="A107" t="s">
        <v>556</v>
      </c>
      <c r="B107" t="s">
        <v>74</v>
      </c>
      <c r="C107">
        <v>1245</v>
      </c>
      <c r="D107" s="15" t="s">
        <v>554</v>
      </c>
      <c r="E107" t="s">
        <v>508</v>
      </c>
      <c r="F107" t="s">
        <v>555</v>
      </c>
      <c r="H107" s="6"/>
      <c r="Q107" s="2" t="s">
        <v>112</v>
      </c>
      <c r="R107" s="7" t="s">
        <v>501</v>
      </c>
      <c r="S107" s="3">
        <v>18</v>
      </c>
      <c r="Y107" s="21">
        <v>9781681374864</v>
      </c>
      <c r="Z107" s="4" t="s">
        <v>113</v>
      </c>
      <c r="AA107" s="4" t="str">
        <f t="shared" ref="AA107" si="11">R107</f>
        <v>NYRB Classics</v>
      </c>
      <c r="AB107" s="5">
        <v>11</v>
      </c>
      <c r="AH107" s="8">
        <v>9781681374871</v>
      </c>
      <c r="AI107" t="str">
        <f t="shared" si="10"/>
        <v>covers/Starobielsk-essays.jpg</v>
      </c>
      <c r="AY107" s="34" t="s">
        <v>558</v>
      </c>
      <c r="AZ107" s="38" t="s">
        <v>557</v>
      </c>
      <c r="BD107" t="s">
        <v>23</v>
      </c>
      <c r="BE107" t="s">
        <v>23</v>
      </c>
      <c r="BG107" t="s">
        <v>31</v>
      </c>
    </row>
    <row r="108" spans="1:59" x14ac:dyDescent="0.25">
      <c r="A108" t="s">
        <v>562</v>
      </c>
      <c r="B108" t="s">
        <v>86</v>
      </c>
      <c r="C108">
        <v>1300</v>
      </c>
      <c r="D108" s="15" t="s">
        <v>561</v>
      </c>
      <c r="E108" t="s">
        <v>563</v>
      </c>
      <c r="F108" t="s">
        <v>555</v>
      </c>
      <c r="H108" s="6" t="s">
        <v>111</v>
      </c>
      <c r="I108" s="7" t="s">
        <v>564</v>
      </c>
      <c r="J108" s="7">
        <v>30</v>
      </c>
      <c r="P108" s="10">
        <v>9780374178796</v>
      </c>
      <c r="Q108" s="2" t="s">
        <v>112</v>
      </c>
      <c r="R108" s="7" t="str">
        <f>I108</f>
        <v>Farrar, Strauss and Giroux</v>
      </c>
      <c r="S108" s="3">
        <v>37</v>
      </c>
      <c r="Y108" s="21">
        <v>9780374536374</v>
      </c>
      <c r="Z108" s="4" t="s">
        <v>113</v>
      </c>
      <c r="AA108" s="4" t="str">
        <f>R108</f>
        <v>Farrar, Strauss and Giroux</v>
      </c>
      <c r="AB108" s="5">
        <v>15</v>
      </c>
      <c r="AH108" s="8">
        <v>9780374710323</v>
      </c>
      <c r="AI108" t="str">
        <f t="shared" si="10"/>
        <v>covers/jedwabne-crime.jpg</v>
      </c>
      <c r="AY108" s="34" t="s">
        <v>559</v>
      </c>
      <c r="AZ108" s="38" t="s">
        <v>560</v>
      </c>
      <c r="BD108" t="s">
        <v>23</v>
      </c>
      <c r="BE108" t="s">
        <v>23</v>
      </c>
      <c r="BG108" t="s">
        <v>31</v>
      </c>
    </row>
    <row r="109" spans="1:59" x14ac:dyDescent="0.25">
      <c r="A109" t="s">
        <v>570</v>
      </c>
      <c r="B109" t="s">
        <v>126</v>
      </c>
      <c r="C109">
        <v>1300</v>
      </c>
      <c r="D109" s="15" t="s">
        <v>565</v>
      </c>
      <c r="E109" t="s">
        <v>566</v>
      </c>
      <c r="F109" t="s">
        <v>555</v>
      </c>
      <c r="H109" s="6"/>
      <c r="Q109" s="2" t="s">
        <v>112</v>
      </c>
      <c r="R109" s="7" t="s">
        <v>567</v>
      </c>
      <c r="S109" s="3">
        <v>15</v>
      </c>
      <c r="Y109" s="21">
        <v>9781681377308</v>
      </c>
      <c r="Z109" s="4" t="s">
        <v>113</v>
      </c>
      <c r="AA109" s="4" t="str">
        <f>R109</f>
        <v>NYRB Poets</v>
      </c>
      <c r="AB109" s="5">
        <v>10</v>
      </c>
      <c r="AH109" s="8">
        <v>9781681377315</v>
      </c>
      <c r="AI109" t="str">
        <f t="shared" si="10"/>
        <v>covers/ginczanka-firebird.jpg</v>
      </c>
      <c r="AY109" s="34" t="s">
        <v>569</v>
      </c>
      <c r="AZ109" s="38" t="s">
        <v>568</v>
      </c>
      <c r="BD109" t="s">
        <v>23</v>
      </c>
      <c r="BE109" t="s">
        <v>23</v>
      </c>
      <c r="BG109" t="s">
        <v>31</v>
      </c>
    </row>
    <row r="110" spans="1:59" x14ac:dyDescent="0.25">
      <c r="A110" t="s">
        <v>573</v>
      </c>
      <c r="B110" t="s">
        <v>126</v>
      </c>
      <c r="C110">
        <v>1350</v>
      </c>
      <c r="D110" s="15" t="s">
        <v>571</v>
      </c>
      <c r="E110" t="s">
        <v>572</v>
      </c>
      <c r="F110" t="s">
        <v>555</v>
      </c>
      <c r="H110" s="6"/>
      <c r="Q110" s="2" t="s">
        <v>112</v>
      </c>
      <c r="R110" s="7" t="s">
        <v>567</v>
      </c>
      <c r="S110" s="3">
        <v>15</v>
      </c>
      <c r="Y110" s="24">
        <v>9781681371603</v>
      </c>
      <c r="Z110" s="4" t="s">
        <v>113</v>
      </c>
      <c r="AA110" s="4" t="str">
        <f>R110</f>
        <v>NYRB Poets</v>
      </c>
      <c r="AB110" s="5">
        <v>11</v>
      </c>
      <c r="AH110" s="8">
        <v>9781681371610</v>
      </c>
      <c r="AI110" t="str">
        <f t="shared" si="10"/>
        <v>covers/life-grows.jpg</v>
      </c>
      <c r="AY110" s="34" t="s">
        <v>574</v>
      </c>
      <c r="AZ110" s="38" t="s">
        <v>575</v>
      </c>
      <c r="BD110" t="s">
        <v>23</v>
      </c>
      <c r="BE110" t="s">
        <v>23</v>
      </c>
      <c r="BG110" t="s">
        <v>31</v>
      </c>
    </row>
    <row r="111" spans="1:59" x14ac:dyDescent="0.25">
      <c r="A111" t="s">
        <v>576</v>
      </c>
      <c r="B111" t="s">
        <v>78</v>
      </c>
      <c r="C111">
        <v>1340</v>
      </c>
      <c r="D111" s="15" t="s">
        <v>578</v>
      </c>
      <c r="E111" t="s">
        <v>579</v>
      </c>
      <c r="F111" t="s">
        <v>67</v>
      </c>
      <c r="H111" s="6"/>
      <c r="Q111" s="2" t="s">
        <v>112</v>
      </c>
      <c r="R111" s="7" t="s">
        <v>580</v>
      </c>
      <c r="S111" s="3">
        <v>17</v>
      </c>
      <c r="Y111" s="21">
        <v>9781068740404</v>
      </c>
      <c r="Z111" s="4" t="s">
        <v>113</v>
      </c>
      <c r="AA111" s="1" t="s">
        <v>580</v>
      </c>
      <c r="AB111" s="5">
        <v>9.5</v>
      </c>
      <c r="AH111" s="8">
        <v>9781068740411</v>
      </c>
      <c r="AI111" t="str">
        <f t="shared" si="10"/>
        <v>covers/voracious.jpg</v>
      </c>
      <c r="AY111" s="34" t="s">
        <v>577</v>
      </c>
      <c r="BD111" t="s">
        <v>23</v>
      </c>
      <c r="BE111" t="s">
        <v>23</v>
      </c>
      <c r="BG111" t="s">
        <v>31</v>
      </c>
    </row>
    <row r="112" spans="1:59" x14ac:dyDescent="0.25">
      <c r="A112" t="s">
        <v>581</v>
      </c>
      <c r="B112" t="s">
        <v>78</v>
      </c>
      <c r="C112">
        <v>1370</v>
      </c>
      <c r="D112" s="15" t="s">
        <v>582</v>
      </c>
      <c r="E112" t="s">
        <v>583</v>
      </c>
      <c r="F112" t="s">
        <v>67</v>
      </c>
      <c r="H112" s="6"/>
      <c r="Q112" s="2" t="s">
        <v>112</v>
      </c>
      <c r="R112" s="7" t="s">
        <v>585</v>
      </c>
      <c r="S112" s="3">
        <v>18</v>
      </c>
      <c r="Y112" s="21">
        <v>9781786074980</v>
      </c>
      <c r="Z112" s="4" t="s">
        <v>113</v>
      </c>
      <c r="AA112" s="1" t="str">
        <f>R112</f>
        <v>Oneworld Publications</v>
      </c>
      <c r="AB112" s="5">
        <v>7</v>
      </c>
      <c r="AH112" s="8">
        <v>9781786073594</v>
      </c>
      <c r="AI112" t="str">
        <f t="shared" si="10"/>
        <v>covers/lala.jpg</v>
      </c>
      <c r="AY112" s="34" t="s">
        <v>586</v>
      </c>
      <c r="AZ112" s="38" t="s">
        <v>584</v>
      </c>
      <c r="BD112" t="s">
        <v>23</v>
      </c>
      <c r="BE112" t="s">
        <v>23</v>
      </c>
      <c r="BG112" t="s">
        <v>31</v>
      </c>
    </row>
    <row r="113" spans="1:62" x14ac:dyDescent="0.25">
      <c r="A113" t="s">
        <v>587</v>
      </c>
      <c r="B113" t="s">
        <v>74</v>
      </c>
      <c r="C113">
        <v>1450</v>
      </c>
      <c r="D113" s="15" t="s">
        <v>588</v>
      </c>
      <c r="E113" t="s">
        <v>485</v>
      </c>
      <c r="F113" t="s">
        <v>67</v>
      </c>
      <c r="H113" s="6"/>
      <c r="Q113" s="2" t="s">
        <v>112</v>
      </c>
      <c r="R113" s="7" t="s">
        <v>589</v>
      </c>
      <c r="S113" s="3">
        <v>24</v>
      </c>
      <c r="Y113" s="21">
        <v>9780143129745</v>
      </c>
      <c r="Z113" s="4" t="s">
        <v>113</v>
      </c>
      <c r="AA113" s="4" t="str">
        <f>R113</f>
        <v>Penguin Publishing Group</v>
      </c>
      <c r="AB113" s="5">
        <v>6</v>
      </c>
      <c r="AH113" s="8">
        <v>9781101993385</v>
      </c>
      <c r="AI113" t="str">
        <f t="shared" si="10"/>
        <v>covers/dancing-bears.jpg</v>
      </c>
      <c r="AY113" s="34" t="s">
        <v>591</v>
      </c>
      <c r="AZ113" s="38" t="s">
        <v>590</v>
      </c>
      <c r="BD113" t="s">
        <v>23</v>
      </c>
      <c r="BE113" t="s">
        <v>23</v>
      </c>
      <c r="BG113" t="s">
        <v>31</v>
      </c>
    </row>
    <row r="114" spans="1:62" x14ac:dyDescent="0.25">
      <c r="A114" t="s">
        <v>594</v>
      </c>
      <c r="B114" t="s">
        <v>301</v>
      </c>
      <c r="C114">
        <v>1350</v>
      </c>
      <c r="D114" s="15" t="s">
        <v>592</v>
      </c>
      <c r="E114" t="s">
        <v>593</v>
      </c>
      <c r="F114" t="s">
        <v>67</v>
      </c>
      <c r="H114" s="6"/>
      <c r="Q114" s="2" t="s">
        <v>112</v>
      </c>
      <c r="R114" s="7" t="s">
        <v>595</v>
      </c>
      <c r="S114" s="3">
        <v>15</v>
      </c>
      <c r="Y114" s="21">
        <v>9781503935860</v>
      </c>
      <c r="Z114" s="4" t="s">
        <v>113</v>
      </c>
      <c r="AA114" s="4" t="str">
        <f>R114</f>
        <v>Amazon Crossing</v>
      </c>
      <c r="AB114" s="5">
        <v>4</v>
      </c>
      <c r="AH114" s="8">
        <v>9781503990869</v>
      </c>
      <c r="AI114" t="str">
        <f t="shared" si="10"/>
        <v>covers/rage.jpg</v>
      </c>
      <c r="AY114" s="34" t="s">
        <v>596</v>
      </c>
      <c r="AZ114" s="38" t="s">
        <v>597</v>
      </c>
      <c r="BD114" t="s">
        <v>23</v>
      </c>
      <c r="BE114" t="s">
        <v>23</v>
      </c>
      <c r="BG114" t="s">
        <v>31</v>
      </c>
      <c r="BI114" t="s">
        <v>601</v>
      </c>
      <c r="BJ114">
        <v>1</v>
      </c>
    </row>
    <row r="115" spans="1:62" x14ac:dyDescent="0.25">
      <c r="A115" t="s">
        <v>598</v>
      </c>
      <c r="B115" t="s">
        <v>301</v>
      </c>
      <c r="C115">
        <v>1370</v>
      </c>
      <c r="D115" s="15" t="s">
        <v>599</v>
      </c>
      <c r="E115" t="s">
        <v>593</v>
      </c>
      <c r="F115" t="s">
        <v>67</v>
      </c>
      <c r="H115" s="6"/>
      <c r="Q115" s="2" t="s">
        <v>112</v>
      </c>
      <c r="R115" s="7" t="s">
        <v>600</v>
      </c>
      <c r="Y115" s="21">
        <v>9781908524027</v>
      </c>
      <c r="Z115" s="4"/>
      <c r="AA115" s="4"/>
      <c r="AI115" t="str">
        <f t="shared" si="10"/>
        <v>covers/grain-truth.jpg</v>
      </c>
      <c r="AY115" s="34" t="s">
        <v>602</v>
      </c>
      <c r="AZ115" s="38" t="s">
        <v>603</v>
      </c>
      <c r="BD115" t="s">
        <v>23</v>
      </c>
      <c r="BE115" t="s">
        <v>23</v>
      </c>
      <c r="BG115" t="s">
        <v>31</v>
      </c>
      <c r="BI115" t="s">
        <v>601</v>
      </c>
      <c r="BJ115">
        <v>2</v>
      </c>
    </row>
    <row r="116" spans="1:62" x14ac:dyDescent="0.25">
      <c r="A116" t="s">
        <v>605</v>
      </c>
      <c r="B116" t="s">
        <v>78</v>
      </c>
      <c r="C116">
        <v>1250</v>
      </c>
      <c r="D116" s="15" t="s">
        <v>604</v>
      </c>
      <c r="E116" t="s">
        <v>354</v>
      </c>
      <c r="F116" t="s">
        <v>67</v>
      </c>
      <c r="H116" s="6" t="s">
        <v>111</v>
      </c>
      <c r="I116" s="7" t="s">
        <v>410</v>
      </c>
      <c r="J116" s="7">
        <v>29</v>
      </c>
      <c r="P116" s="10">
        <v>9780525541332</v>
      </c>
      <c r="Q116" s="2" t="s">
        <v>112</v>
      </c>
      <c r="R116" s="7" t="str">
        <f>I116</f>
        <v>Riverhead Books</v>
      </c>
      <c r="S116" s="3">
        <v>19</v>
      </c>
      <c r="Y116" s="21">
        <v>9780525541349</v>
      </c>
      <c r="Z116" s="4" t="s">
        <v>113</v>
      </c>
      <c r="AA116" s="4" t="s">
        <v>606</v>
      </c>
      <c r="AB116" s="5">
        <v>9</v>
      </c>
      <c r="AH116" s="8">
        <v>9781910695562</v>
      </c>
      <c r="AI116" t="str">
        <f t="shared" si="10"/>
        <v>covers/over-the-bones.jpg</v>
      </c>
      <c r="AY116" s="34" t="s">
        <v>607</v>
      </c>
      <c r="AZ116" s="38" t="s">
        <v>647</v>
      </c>
      <c r="BD116" t="s">
        <v>23</v>
      </c>
      <c r="BE116" t="s">
        <v>23</v>
      </c>
      <c r="BG116" t="s">
        <v>31</v>
      </c>
    </row>
    <row r="117" spans="1:62" x14ac:dyDescent="0.25">
      <c r="A117" t="s">
        <v>608</v>
      </c>
      <c r="B117" t="s">
        <v>78</v>
      </c>
      <c r="C117">
        <v>1235</v>
      </c>
      <c r="D117" s="15" t="s">
        <v>609</v>
      </c>
      <c r="E117" t="s">
        <v>354</v>
      </c>
      <c r="F117" t="s">
        <v>355</v>
      </c>
      <c r="H117" s="6" t="s">
        <v>111</v>
      </c>
      <c r="I117" s="7" t="s">
        <v>410</v>
      </c>
      <c r="J117" s="7">
        <v>35</v>
      </c>
      <c r="P117" s="10">
        <v>9780593087480</v>
      </c>
      <c r="Q117" s="2" t="s">
        <v>112</v>
      </c>
      <c r="R117" s="7" t="str">
        <f>I117</f>
        <v>Riverhead Books</v>
      </c>
      <c r="S117" s="3">
        <v>12.5</v>
      </c>
      <c r="Y117" s="21">
        <v>9780593087503</v>
      </c>
      <c r="Z117" s="4" t="s">
        <v>113</v>
      </c>
      <c r="AA117" s="4" t="str">
        <f>I117</f>
        <v>Riverhead Books</v>
      </c>
      <c r="AB117" s="5">
        <v>8</v>
      </c>
      <c r="AH117" s="8">
        <v>9780593087497</v>
      </c>
      <c r="AI117" t="str">
        <f t="shared" si="10"/>
        <v>covers/jacobs-books.jpg</v>
      </c>
      <c r="AY117" s="34" t="s">
        <v>610</v>
      </c>
      <c r="AZ117" s="38" t="s">
        <v>611</v>
      </c>
      <c r="BD117" t="s">
        <v>23</v>
      </c>
      <c r="BE117" t="s">
        <v>23</v>
      </c>
      <c r="BG117" t="s">
        <v>31</v>
      </c>
    </row>
    <row r="118" spans="1:62" x14ac:dyDescent="0.25">
      <c r="A118" t="s">
        <v>612</v>
      </c>
      <c r="B118" t="s">
        <v>78</v>
      </c>
      <c r="C118">
        <v>1270</v>
      </c>
      <c r="D118" s="15" t="s">
        <v>613</v>
      </c>
      <c r="E118" t="s">
        <v>354</v>
      </c>
      <c r="F118" t="s">
        <v>67</v>
      </c>
      <c r="H118" s="6" t="s">
        <v>111</v>
      </c>
      <c r="I118" s="7" t="s">
        <v>410</v>
      </c>
      <c r="J118" s="7">
        <v>30</v>
      </c>
      <c r="P118" s="10">
        <v>9780593712948</v>
      </c>
      <c r="Q118" s="2" t="s">
        <v>112</v>
      </c>
      <c r="R118" s="7" t="str">
        <f>I118</f>
        <v>Riverhead Books</v>
      </c>
      <c r="S118" s="3">
        <v>20</v>
      </c>
      <c r="Y118" s="21">
        <v>9780593712955</v>
      </c>
      <c r="Z118" s="4" t="s">
        <v>113</v>
      </c>
      <c r="AA118" s="4" t="str">
        <f>AA116</f>
        <v>Fitzcarraldo Editions</v>
      </c>
      <c r="AB118" s="5">
        <v>12.42</v>
      </c>
      <c r="AH118" s="8">
        <v>9781804271094</v>
      </c>
      <c r="AI118" t="str">
        <f t="shared" si="10"/>
        <v>covers/empusium.jpg</v>
      </c>
      <c r="AY118" s="34" t="s">
        <v>614</v>
      </c>
      <c r="AZ118" s="38" t="s">
        <v>615</v>
      </c>
      <c r="BD118" t="s">
        <v>23</v>
      </c>
      <c r="BE118" t="s">
        <v>23</v>
      </c>
      <c r="BG118" t="s">
        <v>31</v>
      </c>
    </row>
    <row r="119" spans="1:62" x14ac:dyDescent="0.25">
      <c r="A119" t="s">
        <v>617</v>
      </c>
      <c r="B119" t="s">
        <v>78</v>
      </c>
      <c r="C119">
        <v>1500</v>
      </c>
      <c r="D119" s="15" t="s">
        <v>616</v>
      </c>
      <c r="E119" t="s">
        <v>354</v>
      </c>
      <c r="F119" t="s">
        <v>67</v>
      </c>
      <c r="H119" s="6" t="s">
        <v>111</v>
      </c>
      <c r="I119" s="7" t="s">
        <v>541</v>
      </c>
      <c r="J119" s="7">
        <v>24</v>
      </c>
      <c r="P119" s="10">
        <v>9781644214473</v>
      </c>
      <c r="Q119" s="2"/>
      <c r="R119" s="7"/>
      <c r="Z119" s="4" t="s">
        <v>113</v>
      </c>
      <c r="AA119" s="4" t="s">
        <v>541</v>
      </c>
      <c r="AB119" s="5">
        <v>14</v>
      </c>
      <c r="AH119" s="8">
        <v>9781644214480</v>
      </c>
      <c r="AI119" t="str">
        <f t="shared" si="10"/>
        <v>covers/mr-distinctive.jpg</v>
      </c>
      <c r="AY119" s="34" t="s">
        <v>618</v>
      </c>
      <c r="BD119" t="s">
        <v>23</v>
      </c>
      <c r="BE119" t="s">
        <v>23</v>
      </c>
      <c r="BG119" t="s">
        <v>31</v>
      </c>
    </row>
    <row r="120" spans="1:62" x14ac:dyDescent="0.25">
      <c r="A120" t="s">
        <v>619</v>
      </c>
      <c r="B120" t="s">
        <v>78</v>
      </c>
      <c r="C120">
        <v>1600</v>
      </c>
      <c r="D120" s="15" t="s">
        <v>624</v>
      </c>
      <c r="E120" t="s">
        <v>354</v>
      </c>
      <c r="F120" t="s">
        <v>67</v>
      </c>
      <c r="H120" s="6" t="s">
        <v>111</v>
      </c>
      <c r="I120" s="7" t="s">
        <v>541</v>
      </c>
      <c r="J120" s="7">
        <v>23</v>
      </c>
      <c r="P120" s="10">
        <v>9781644210345</v>
      </c>
      <c r="Q120" s="2"/>
      <c r="R120" s="7"/>
      <c r="Z120" s="4" t="s">
        <v>113</v>
      </c>
      <c r="AA120" s="4" t="s">
        <v>541</v>
      </c>
      <c r="AB120" s="5">
        <v>14</v>
      </c>
      <c r="AH120" s="8">
        <v>9781644210352</v>
      </c>
      <c r="AI120" t="str">
        <f t="shared" si="10"/>
        <v>covers/lost-soul.jpg</v>
      </c>
      <c r="AY120" s="34" t="s">
        <v>621</v>
      </c>
      <c r="AZ120" s="38" t="s">
        <v>620</v>
      </c>
      <c r="BD120" t="s">
        <v>23</v>
      </c>
      <c r="BE120" t="s">
        <v>23</v>
      </c>
      <c r="BG120" t="s">
        <v>31</v>
      </c>
    </row>
    <row r="121" spans="1:62" x14ac:dyDescent="0.25">
      <c r="A121" t="s">
        <v>625</v>
      </c>
      <c r="B121" t="s">
        <v>301</v>
      </c>
      <c r="C121">
        <v>1540</v>
      </c>
      <c r="D121" s="15" t="s">
        <v>626</v>
      </c>
      <c r="E121" t="s">
        <v>479</v>
      </c>
      <c r="H121" s="6"/>
      <c r="Q121" s="2" t="s">
        <v>112</v>
      </c>
      <c r="R121" s="7" t="s">
        <v>628</v>
      </c>
      <c r="S121" s="3">
        <v>19.5</v>
      </c>
      <c r="Y121" s="21">
        <v>9781786079299</v>
      </c>
      <c r="Z121" s="4" t="s">
        <v>113</v>
      </c>
      <c r="AA121" s="4" t="str">
        <f>R121</f>
        <v>Point Blank</v>
      </c>
      <c r="AB121" s="5">
        <v>8.5</v>
      </c>
      <c r="AH121" s="8">
        <v>9781786079282</v>
      </c>
      <c r="AI121" t="str">
        <f t="shared" si="10"/>
        <v>covers/torn-curtain.jpg</v>
      </c>
      <c r="AY121" s="34" t="s">
        <v>627</v>
      </c>
      <c r="BD121" t="s">
        <v>23</v>
      </c>
      <c r="BE121" t="s">
        <v>23</v>
      </c>
      <c r="BG121" t="s">
        <v>31</v>
      </c>
      <c r="BI121" t="s">
        <v>629</v>
      </c>
      <c r="BJ121">
        <v>2</v>
      </c>
    </row>
    <row r="122" spans="1:62" x14ac:dyDescent="0.25">
      <c r="A122" t="s">
        <v>630</v>
      </c>
      <c r="B122" t="s">
        <v>40</v>
      </c>
      <c r="C122">
        <v>1543</v>
      </c>
      <c r="D122" s="15" t="s">
        <v>631</v>
      </c>
      <c r="E122" t="s">
        <v>632</v>
      </c>
      <c r="F122" t="s">
        <v>633</v>
      </c>
      <c r="H122" s="6"/>
      <c r="Q122" s="2" t="s">
        <v>112</v>
      </c>
      <c r="R122" s="7" t="str">
        <f>F122</f>
        <v>Michelle Granas</v>
      </c>
      <c r="S122" s="3">
        <v>24</v>
      </c>
      <c r="Y122" s="21">
        <v>9780988859296</v>
      </c>
      <c r="Z122" s="4" t="s">
        <v>113</v>
      </c>
      <c r="AA122" s="4" t="str">
        <f>R122</f>
        <v>Michelle Granas</v>
      </c>
      <c r="AB122" s="5">
        <v>2.99</v>
      </c>
      <c r="AH122" s="8" t="s">
        <v>634</v>
      </c>
      <c r="AI122" t="str">
        <f t="shared" si="10"/>
        <v>covers/on-niemen.jpg</v>
      </c>
      <c r="AY122" s="34" t="s">
        <v>635</v>
      </c>
      <c r="BD122" t="s">
        <v>23</v>
      </c>
      <c r="BE122" t="s">
        <v>23</v>
      </c>
      <c r="BG122" t="s">
        <v>31</v>
      </c>
    </row>
    <row r="123" spans="1:62" x14ac:dyDescent="0.25">
      <c r="A123" t="s">
        <v>637</v>
      </c>
      <c r="B123" t="s">
        <v>40</v>
      </c>
      <c r="C123">
        <v>1570</v>
      </c>
      <c r="D123" s="15" t="s">
        <v>638</v>
      </c>
      <c r="E123" t="s">
        <v>632</v>
      </c>
      <c r="F123" s="1" t="s">
        <v>641</v>
      </c>
      <c r="G123" s="1"/>
      <c r="H123" s="6" t="s">
        <v>111</v>
      </c>
      <c r="I123" s="7" t="s">
        <v>639</v>
      </c>
      <c r="J123" s="7">
        <v>25</v>
      </c>
      <c r="P123" s="10">
        <v>9780821423134</v>
      </c>
      <c r="Q123" s="2"/>
      <c r="R123" s="7"/>
      <c r="Z123" s="4" t="s">
        <v>113</v>
      </c>
      <c r="AA123" s="4" t="str">
        <f>I123</f>
        <v>Ohio Press University</v>
      </c>
      <c r="AB123" s="5">
        <v>24</v>
      </c>
      <c r="AH123" s="8">
        <v>9780821446294</v>
      </c>
      <c r="AI123" t="str">
        <f t="shared" si="10"/>
        <v>covers/marta.jpg</v>
      </c>
      <c r="AY123" s="34" t="s">
        <v>640</v>
      </c>
      <c r="AZ123" s="38" t="s">
        <v>636</v>
      </c>
      <c r="BD123" t="s">
        <v>23</v>
      </c>
      <c r="BE123" t="s">
        <v>23</v>
      </c>
      <c r="BG123" t="s">
        <v>31</v>
      </c>
    </row>
    <row r="124" spans="1:62" x14ac:dyDescent="0.25">
      <c r="A124" t="s">
        <v>671</v>
      </c>
      <c r="B124" t="s">
        <v>301</v>
      </c>
      <c r="C124">
        <v>1600</v>
      </c>
      <c r="D124" s="15" t="s">
        <v>643</v>
      </c>
      <c r="E124" t="s">
        <v>672</v>
      </c>
      <c r="H124" s="6"/>
      <c r="Q124" s="2"/>
      <c r="R124" s="7"/>
      <c r="Z124" s="4" t="s">
        <v>113</v>
      </c>
      <c r="AA124" s="4" t="s">
        <v>670</v>
      </c>
      <c r="AB124" s="5">
        <v>17</v>
      </c>
      <c r="AH124" s="8" t="s">
        <v>644</v>
      </c>
      <c r="AI124" t="str">
        <f t="shared" si="10"/>
        <v>covers/dedalus-fantasy.jpg</v>
      </c>
      <c r="AP124" t="s">
        <v>715</v>
      </c>
      <c r="AQ124" t="s">
        <v>718</v>
      </c>
      <c r="AR124" t="s">
        <v>714</v>
      </c>
      <c r="AS124" t="s">
        <v>716</v>
      </c>
      <c r="AT124" s="25" t="s">
        <v>719</v>
      </c>
      <c r="AU124" t="s">
        <v>717</v>
      </c>
      <c r="AY124" s="34" t="s">
        <v>669</v>
      </c>
      <c r="BD124" t="s">
        <v>23</v>
      </c>
      <c r="BE124" t="s">
        <v>23</v>
      </c>
      <c r="BG124" t="s">
        <v>31</v>
      </c>
    </row>
    <row r="125" spans="1:62" x14ac:dyDescent="0.25">
      <c r="A125" t="s">
        <v>676</v>
      </c>
      <c r="B125" t="s">
        <v>301</v>
      </c>
      <c r="C125">
        <v>1610</v>
      </c>
      <c r="D125" s="15" t="s">
        <v>675</v>
      </c>
      <c r="E125" t="s">
        <v>674</v>
      </c>
      <c r="F125" t="s">
        <v>673</v>
      </c>
      <c r="H125" s="6"/>
      <c r="Q125" s="2" t="s">
        <v>112</v>
      </c>
      <c r="R125" s="7" t="s">
        <v>670</v>
      </c>
      <c r="S125" s="3">
        <v>13.1</v>
      </c>
      <c r="Y125" s="21">
        <v>9781909232044</v>
      </c>
      <c r="Z125" s="4" t="s">
        <v>113</v>
      </c>
      <c r="AA125" s="4" t="s">
        <v>670</v>
      </c>
      <c r="AB125" s="5">
        <v>8.0500000000000007</v>
      </c>
      <c r="AH125" s="8">
        <v>9781907650666</v>
      </c>
      <c r="AI125" t="str">
        <f t="shared" si="10"/>
        <v>covers/dark-domain.jpg</v>
      </c>
      <c r="AY125" s="37" t="s">
        <v>677</v>
      </c>
      <c r="AZ125" s="40" t="s">
        <v>678</v>
      </c>
      <c r="BD125" t="s">
        <v>23</v>
      </c>
      <c r="BE125" t="s">
        <v>23</v>
      </c>
      <c r="BG125" t="s">
        <v>31</v>
      </c>
    </row>
    <row r="126" spans="1:62" x14ac:dyDescent="0.25">
      <c r="A126" t="s">
        <v>684</v>
      </c>
      <c r="B126" t="s">
        <v>301</v>
      </c>
      <c r="C126">
        <v>1300</v>
      </c>
      <c r="D126" s="15" t="s">
        <v>645</v>
      </c>
      <c r="E126" t="s">
        <v>683</v>
      </c>
      <c r="H126" s="6"/>
      <c r="Q126" s="2"/>
      <c r="R126" s="7"/>
      <c r="Z126" s="4" t="s">
        <v>113</v>
      </c>
      <c r="AA126" s="4" t="s">
        <v>243</v>
      </c>
      <c r="AB126" s="5">
        <v>61.99</v>
      </c>
      <c r="AH126" s="8">
        <v>9781134425419</v>
      </c>
      <c r="AI126" t="str">
        <f t="shared" si="10"/>
        <v>covers/mannequins-ball.jpg</v>
      </c>
      <c r="AY126" s="38" t="s">
        <v>685</v>
      </c>
      <c r="BD126" t="s">
        <v>23</v>
      </c>
      <c r="BE126" t="s">
        <v>23</v>
      </c>
      <c r="BG126" t="s">
        <v>31</v>
      </c>
    </row>
    <row r="127" spans="1:62" x14ac:dyDescent="0.25">
      <c r="A127" t="s">
        <v>686</v>
      </c>
      <c r="B127" t="s">
        <v>74</v>
      </c>
      <c r="C127">
        <v>1320</v>
      </c>
      <c r="D127" s="15" t="s">
        <v>646</v>
      </c>
      <c r="E127" t="s">
        <v>688</v>
      </c>
      <c r="F127" t="s">
        <v>689</v>
      </c>
      <c r="H127" s="6"/>
      <c r="Q127" s="2" t="s">
        <v>112</v>
      </c>
      <c r="R127" s="7" t="s">
        <v>690</v>
      </c>
      <c r="S127" s="3">
        <v>24.95</v>
      </c>
      <c r="Y127" s="21">
        <v>9781586424480</v>
      </c>
      <c r="Z127" s="4"/>
      <c r="AA127" s="4"/>
      <c r="AI127" t="str">
        <f t="shared" si="10"/>
        <v>covers/conversations-executioner.jpg</v>
      </c>
      <c r="AY127" s="34" t="s">
        <v>687</v>
      </c>
      <c r="AZ127" s="38" t="s">
        <v>691</v>
      </c>
      <c r="BD127" t="s">
        <v>23</v>
      </c>
      <c r="BE127" t="s">
        <v>23</v>
      </c>
      <c r="BG127" t="s">
        <v>31</v>
      </c>
    </row>
    <row r="128" spans="1:62" x14ac:dyDescent="0.25">
      <c r="A128" t="s">
        <v>682</v>
      </c>
      <c r="B128" t="s">
        <v>301</v>
      </c>
      <c r="C128">
        <v>1620</v>
      </c>
      <c r="D128" s="15" t="s">
        <v>679</v>
      </c>
      <c r="E128" t="s">
        <v>200</v>
      </c>
      <c r="F128" t="s">
        <v>93</v>
      </c>
      <c r="H128" s="6"/>
      <c r="Q128" s="2" t="s">
        <v>112</v>
      </c>
      <c r="R128" s="7" t="s">
        <v>681</v>
      </c>
      <c r="U128" s="3">
        <v>10</v>
      </c>
      <c r="Y128" s="21">
        <v>9780940962705</v>
      </c>
      <c r="Z128" s="4"/>
      <c r="AA128" s="4"/>
      <c r="AI128" t="str">
        <f t="shared" si="10"/>
        <v>covers/polish-monsters.jpg</v>
      </c>
      <c r="AY128" s="34" t="s">
        <v>680</v>
      </c>
      <c r="BD128" t="s">
        <v>23</v>
      </c>
      <c r="BE128" t="s">
        <v>23</v>
      </c>
      <c r="BG128" t="s">
        <v>31</v>
      </c>
    </row>
    <row r="129" spans="1:62" x14ac:dyDescent="0.25">
      <c r="A129" t="s">
        <v>720</v>
      </c>
      <c r="B129" t="s">
        <v>78</v>
      </c>
      <c r="C129">
        <v>1230</v>
      </c>
      <c r="D129" s="15" t="s">
        <v>721</v>
      </c>
      <c r="E129" t="s">
        <v>430</v>
      </c>
      <c r="H129" s="6"/>
      <c r="Q129" s="2" t="s">
        <v>112</v>
      </c>
      <c r="R129" s="7" t="s">
        <v>429</v>
      </c>
      <c r="S129" s="3">
        <v>12</v>
      </c>
      <c r="Y129" s="21">
        <v>9780802134028</v>
      </c>
      <c r="Z129" s="4" t="s">
        <v>113</v>
      </c>
      <c r="AA129" s="4" t="str">
        <f>R129</f>
        <v>Grove Press</v>
      </c>
      <c r="AB129" s="5">
        <v>12</v>
      </c>
      <c r="AH129" s="8">
        <v>9780802162267</v>
      </c>
      <c r="AI129" t="str">
        <f t="shared" si="10"/>
        <v>covers/mass-arras.jpg</v>
      </c>
      <c r="AY129" s="34" t="s">
        <v>723</v>
      </c>
      <c r="AZ129" s="38" t="s">
        <v>722</v>
      </c>
      <c r="BD129" t="s">
        <v>23</v>
      </c>
      <c r="BE129" t="s">
        <v>23</v>
      </c>
      <c r="BG129" t="s">
        <v>31</v>
      </c>
    </row>
    <row r="130" spans="1:62" x14ac:dyDescent="0.25">
      <c r="A130" t="s">
        <v>724</v>
      </c>
      <c r="B130" t="s">
        <v>78</v>
      </c>
      <c r="C130">
        <v>1380</v>
      </c>
      <c r="D130" s="15" t="s">
        <v>725</v>
      </c>
      <c r="E130" t="s">
        <v>141</v>
      </c>
      <c r="F130" t="s">
        <v>142</v>
      </c>
      <c r="H130" s="6" t="str">
        <f>H123</f>
        <v>Hardcover</v>
      </c>
      <c r="I130" s="7" t="s">
        <v>726</v>
      </c>
      <c r="J130" s="7">
        <v>48</v>
      </c>
      <c r="P130" s="10">
        <v>9781782274704</v>
      </c>
      <c r="Q130" s="2" t="s">
        <v>112</v>
      </c>
      <c r="R130" s="7" t="str">
        <f>I130</f>
        <v>Pushkin Prress</v>
      </c>
      <c r="S130" s="3">
        <v>15</v>
      </c>
      <c r="Y130" s="21">
        <v>9781782274728</v>
      </c>
      <c r="Z130" s="4" t="s">
        <v>113</v>
      </c>
      <c r="AA130" s="4" t="str">
        <f>R130</f>
        <v>Pushkin Prress</v>
      </c>
      <c r="AB130" s="5">
        <v>11.14</v>
      </c>
      <c r="AH130" s="8">
        <v>9781782274711</v>
      </c>
      <c r="AI130" t="str">
        <f t="shared" si="10"/>
        <v>covers/salt-earth.jpg</v>
      </c>
      <c r="AY130" s="34" t="s">
        <v>728</v>
      </c>
      <c r="AZ130" s="38" t="s">
        <v>727</v>
      </c>
      <c r="BD130" t="s">
        <v>23</v>
      </c>
      <c r="BE130" t="s">
        <v>23</v>
      </c>
      <c r="BG130" t="s">
        <v>31</v>
      </c>
    </row>
    <row r="131" spans="1:62" x14ac:dyDescent="0.25">
      <c r="A131" t="s">
        <v>730</v>
      </c>
      <c r="B131" t="s">
        <v>742</v>
      </c>
      <c r="C131">
        <v>800</v>
      </c>
      <c r="D131" s="15" t="s">
        <v>731</v>
      </c>
      <c r="E131" t="s">
        <v>748</v>
      </c>
      <c r="F131" t="s">
        <v>729</v>
      </c>
      <c r="H131" s="6"/>
      <c r="Q131" s="2" t="s">
        <v>112</v>
      </c>
      <c r="R131" s="7" t="s">
        <v>732</v>
      </c>
      <c r="S131" s="3">
        <v>20</v>
      </c>
      <c r="Y131" s="21">
        <v>9780966615265</v>
      </c>
      <c r="Z131" s="4"/>
      <c r="AA131" s="4"/>
      <c r="AI131" t="str">
        <f t="shared" si="10"/>
        <v>covers/7-plays.jpg</v>
      </c>
      <c r="AY131" s="34" t="s">
        <v>733</v>
      </c>
      <c r="AZ131" s="38" t="s">
        <v>734</v>
      </c>
      <c r="BD131" t="s">
        <v>23</v>
      </c>
      <c r="BE131" t="s">
        <v>23</v>
      </c>
      <c r="BG131" t="s">
        <v>31</v>
      </c>
    </row>
    <row r="132" spans="1:62" x14ac:dyDescent="0.25">
      <c r="A132" t="s">
        <v>735</v>
      </c>
      <c r="B132" t="s">
        <v>78</v>
      </c>
      <c r="C132">
        <v>1115</v>
      </c>
      <c r="D132" s="15" t="s">
        <v>736</v>
      </c>
      <c r="E132" t="s">
        <v>430</v>
      </c>
      <c r="H132" s="6" t="str">
        <f>H130</f>
        <v>Hardcover</v>
      </c>
      <c r="I132" s="7" t="str">
        <f>R132</f>
        <v>Grove Press</v>
      </c>
      <c r="J132" s="7">
        <v>10</v>
      </c>
      <c r="P132" s="10">
        <v>9780802115676</v>
      </c>
      <c r="Q132" s="2" t="s">
        <v>112</v>
      </c>
      <c r="R132" s="7" t="str">
        <f>R129</f>
        <v>Grove Press</v>
      </c>
      <c r="S132" s="3">
        <v>12</v>
      </c>
      <c r="Y132" s="21">
        <v>9780802134882</v>
      </c>
      <c r="Z132" s="4" t="str">
        <f>Z130</f>
        <v>Ebook</v>
      </c>
      <c r="AA132" s="4" t="str">
        <f>R132</f>
        <v>Grove Press</v>
      </c>
      <c r="AB132" s="5">
        <v>12</v>
      </c>
      <c r="AH132" s="8">
        <v>9780802162274</v>
      </c>
      <c r="AI132" t="str">
        <f t="shared" si="10"/>
        <v>covers/self-woman.jpg</v>
      </c>
      <c r="AY132" s="34" t="s">
        <v>737</v>
      </c>
      <c r="AZ132" s="38" t="s">
        <v>738</v>
      </c>
      <c r="BD132" t="s">
        <v>23</v>
      </c>
      <c r="BE132" t="s">
        <v>23</v>
      </c>
      <c r="BG132" t="s">
        <v>31</v>
      </c>
    </row>
    <row r="133" spans="1:62" x14ac:dyDescent="0.25">
      <c r="A133" t="s">
        <v>740</v>
      </c>
      <c r="B133" t="s">
        <v>742</v>
      </c>
      <c r="C133">
        <v>1200</v>
      </c>
      <c r="D133" s="15" t="s">
        <v>739</v>
      </c>
      <c r="E133" t="str">
        <f>F131</f>
        <v xml:space="preserve">Daniel Gerould </v>
      </c>
      <c r="H133" s="6" t="str">
        <f>H132</f>
        <v>Hardcover</v>
      </c>
      <c r="I133" s="7" t="str">
        <f>R133</f>
        <v>Routledge</v>
      </c>
      <c r="J133" s="7">
        <v>127</v>
      </c>
      <c r="P133" s="10">
        <v>9780415275040</v>
      </c>
      <c r="Q133" s="2" t="s">
        <v>112</v>
      </c>
      <c r="R133" s="7" t="s">
        <v>243</v>
      </c>
      <c r="S133" s="3">
        <v>37</v>
      </c>
      <c r="Y133" s="21">
        <v>9780415866354</v>
      </c>
      <c r="Z133" s="4" t="str">
        <f>Z132</f>
        <v>Ebook</v>
      </c>
      <c r="AA133" s="4" t="str">
        <f>R133</f>
        <v>Routledge</v>
      </c>
      <c r="AB133" s="5">
        <v>29</v>
      </c>
      <c r="AH133" s="8">
        <v>9781136474781</v>
      </c>
      <c r="AI133" t="str">
        <f t="shared" si="10"/>
        <v>covers/green-goose.jpg</v>
      </c>
      <c r="AY133" s="34" t="s">
        <v>741</v>
      </c>
      <c r="BD133" t="s">
        <v>23</v>
      </c>
      <c r="BE133" t="s">
        <v>23</v>
      </c>
      <c r="BG133" t="s">
        <v>31</v>
      </c>
    </row>
    <row r="134" spans="1:62" x14ac:dyDescent="0.25">
      <c r="A134" t="s">
        <v>745</v>
      </c>
      <c r="B134" t="s">
        <v>742</v>
      </c>
      <c r="C134">
        <v>1210</v>
      </c>
      <c r="D134" s="26" t="s">
        <v>743</v>
      </c>
      <c r="E134" t="s">
        <v>744</v>
      </c>
      <c r="F134" t="str">
        <f>F131</f>
        <v xml:space="preserve">Daniel Gerould </v>
      </c>
      <c r="H134" s="6"/>
      <c r="Q134" s="2" t="s">
        <v>112</v>
      </c>
      <c r="R134" s="7" t="str">
        <f>R132</f>
        <v>Grove Press</v>
      </c>
      <c r="S134" s="3">
        <v>18</v>
      </c>
      <c r="Y134" s="21">
        <v>9780802140661</v>
      </c>
      <c r="Z134" s="4"/>
      <c r="AA134" s="4"/>
      <c r="AI134" t="str">
        <f t="shared" ref="AI134:AI192" si="12">"covers/" &amp; A134 &amp; ".jpg"</f>
        <v>covers/mrozek-reader.jpg</v>
      </c>
      <c r="AY134" s="34" t="s">
        <v>746</v>
      </c>
      <c r="BD134" t="s">
        <v>23</v>
      </c>
      <c r="BE134" t="s">
        <v>23</v>
      </c>
      <c r="BG134" t="s">
        <v>31</v>
      </c>
    </row>
    <row r="135" spans="1:62" x14ac:dyDescent="0.25">
      <c r="A135" t="s">
        <v>750</v>
      </c>
      <c r="B135" t="s">
        <v>742</v>
      </c>
      <c r="C135">
        <v>1205</v>
      </c>
      <c r="D135" s="26" t="s">
        <v>747</v>
      </c>
      <c r="E135" t="s">
        <v>748</v>
      </c>
      <c r="F135" t="str">
        <f>F134</f>
        <v xml:space="preserve">Daniel Gerould </v>
      </c>
      <c r="H135" s="6"/>
      <c r="Q135" s="2" t="s">
        <v>112</v>
      </c>
      <c r="R135" s="7" t="s">
        <v>229</v>
      </c>
      <c r="S135" s="3">
        <v>35</v>
      </c>
      <c r="Y135" s="21">
        <v>9780810109940</v>
      </c>
      <c r="Z135" s="4"/>
      <c r="AA135" s="4"/>
      <c r="AI135" t="str">
        <f t="shared" si="12"/>
        <v>covers/witkacy-reader.jpg</v>
      </c>
      <c r="AY135" s="34" t="s">
        <v>749</v>
      </c>
      <c r="BD135" t="s">
        <v>23</v>
      </c>
      <c r="BE135" t="s">
        <v>23</v>
      </c>
      <c r="BG135" t="s">
        <v>31</v>
      </c>
      <c r="BI135" t="s">
        <v>852</v>
      </c>
      <c r="BJ135">
        <v>3</v>
      </c>
    </row>
    <row r="136" spans="1:62" x14ac:dyDescent="0.25">
      <c r="A136" t="s">
        <v>754</v>
      </c>
      <c r="B136" t="s">
        <v>74</v>
      </c>
      <c r="C136">
        <v>1102</v>
      </c>
      <c r="D136" s="15" t="s">
        <v>751</v>
      </c>
      <c r="E136" t="s">
        <v>753</v>
      </c>
      <c r="F136" t="s">
        <v>752</v>
      </c>
      <c r="H136" s="6" t="s">
        <v>111</v>
      </c>
      <c r="I136" s="7" t="s">
        <v>229</v>
      </c>
      <c r="J136" s="7">
        <v>60</v>
      </c>
      <c r="P136" s="10">
        <v>9780810122031</v>
      </c>
      <c r="Q136" s="2" t="s">
        <v>112</v>
      </c>
      <c r="R136" s="7" t="s">
        <v>229</v>
      </c>
      <c r="S136" s="3">
        <v>30</v>
      </c>
      <c r="Y136" s="21">
        <v>9780810129603</v>
      </c>
      <c r="Z136" s="4"/>
      <c r="AA136" s="4"/>
      <c r="AI136" t="str">
        <f t="shared" si="12"/>
        <v>covers/borowski-letters.jpg</v>
      </c>
      <c r="AY136" s="34" t="s">
        <v>755</v>
      </c>
      <c r="BD136" t="s">
        <v>23</v>
      </c>
      <c r="BE136" t="s">
        <v>23</v>
      </c>
      <c r="BG136" t="s">
        <v>31</v>
      </c>
    </row>
    <row r="137" spans="1:62" x14ac:dyDescent="0.25">
      <c r="A137" t="s">
        <v>759</v>
      </c>
      <c r="B137" t="s">
        <v>78</v>
      </c>
      <c r="C137">
        <v>1207</v>
      </c>
      <c r="D137" s="26" t="s">
        <v>756</v>
      </c>
      <c r="E137" t="s">
        <v>757</v>
      </c>
      <c r="F137" t="s">
        <v>762</v>
      </c>
      <c r="Q137" s="2" t="s">
        <v>112</v>
      </c>
      <c r="R137" s="7" t="s">
        <v>229</v>
      </c>
      <c r="S137" s="3">
        <v>22</v>
      </c>
      <c r="Y137" s="21">
        <v>9780810115194</v>
      </c>
      <c r="Z137" s="4"/>
      <c r="AA137" s="4"/>
      <c r="AI137" t="str">
        <f t="shared" si="12"/>
        <v>covers/ashes-diamonds.jpg</v>
      </c>
      <c r="AY137" s="34" t="s">
        <v>758</v>
      </c>
      <c r="BD137" t="s">
        <v>23</v>
      </c>
      <c r="BE137" t="s">
        <v>23</v>
      </c>
      <c r="BG137" t="s">
        <v>31</v>
      </c>
    </row>
    <row r="138" spans="1:62" x14ac:dyDescent="0.25">
      <c r="A138" t="s">
        <v>761</v>
      </c>
      <c r="B138" t="s">
        <v>78</v>
      </c>
      <c r="C138">
        <v>1209</v>
      </c>
      <c r="D138" s="15" t="s">
        <v>760</v>
      </c>
      <c r="E138" t="s">
        <v>771</v>
      </c>
      <c r="H138" s="6" t="s">
        <v>111</v>
      </c>
      <c r="I138" s="7" t="s">
        <v>639</v>
      </c>
      <c r="J138" s="7">
        <v>40</v>
      </c>
      <c r="P138" s="10">
        <v>9780821417157</v>
      </c>
      <c r="Q138" s="2" t="s">
        <v>112</v>
      </c>
      <c r="R138" s="7" t="str">
        <f>I138</f>
        <v>Ohio Press University</v>
      </c>
      <c r="S138" s="3">
        <v>22</v>
      </c>
      <c r="Y138" s="21">
        <v>9780821417164</v>
      </c>
      <c r="Z138" s="4" t="str">
        <f>Z133</f>
        <v>Ebook</v>
      </c>
      <c r="AA138" s="4" t="str">
        <f>R138</f>
        <v>Ohio Press University</v>
      </c>
      <c r="AB138" s="5">
        <v>22</v>
      </c>
      <c r="AH138" s="8">
        <v>9780821442203</v>
      </c>
      <c r="AI138" t="str">
        <f t="shared" si="12"/>
        <v>covers/holy-week.jpg</v>
      </c>
      <c r="AY138" s="34" t="s">
        <v>764</v>
      </c>
      <c r="AZ138" s="38" t="s">
        <v>763</v>
      </c>
      <c r="BD138" t="s">
        <v>23</v>
      </c>
      <c r="BE138" t="s">
        <v>23</v>
      </c>
      <c r="BG138" t="s">
        <v>31</v>
      </c>
    </row>
    <row r="139" spans="1:62" x14ac:dyDescent="0.25">
      <c r="A139" t="s">
        <v>766</v>
      </c>
      <c r="B139" t="s">
        <v>742</v>
      </c>
      <c r="C139">
        <v>1402</v>
      </c>
      <c r="D139" s="15" t="s">
        <v>765</v>
      </c>
      <c r="E139" t="s">
        <v>748</v>
      </c>
      <c r="H139" s="6"/>
      <c r="Q139" s="2" t="s">
        <v>112</v>
      </c>
      <c r="R139" s="7" t="s">
        <v>767</v>
      </c>
      <c r="S139" s="3">
        <v>15</v>
      </c>
      <c r="Y139" s="21">
        <v>9780936839837</v>
      </c>
      <c r="Z139" s="4" t="str">
        <f>Z138</f>
        <v>Ebook</v>
      </c>
      <c r="AA139" s="4" t="str">
        <f>R139</f>
        <v>Applause</v>
      </c>
      <c r="AB139" s="5">
        <v>14</v>
      </c>
      <c r="AH139" s="8">
        <v>9781617745591</v>
      </c>
      <c r="AI139" t="str">
        <f t="shared" si="12"/>
        <v>covers/witkacy-3-plays.jpg</v>
      </c>
      <c r="AY139" s="34" t="s">
        <v>768</v>
      </c>
      <c r="BD139" t="s">
        <v>23</v>
      </c>
      <c r="BE139" t="s">
        <v>23</v>
      </c>
      <c r="BG139" t="s">
        <v>31</v>
      </c>
      <c r="BI139" t="str">
        <f>BI135</f>
        <v>Witkiewicz</v>
      </c>
      <c r="BJ139">
        <v>1</v>
      </c>
    </row>
    <row r="140" spans="1:62" x14ac:dyDescent="0.25">
      <c r="A140" t="s">
        <v>770</v>
      </c>
      <c r="B140" t="s">
        <v>78</v>
      </c>
      <c r="C140">
        <v>550</v>
      </c>
      <c r="D140" s="15" t="s">
        <v>769</v>
      </c>
      <c r="E140" t="s">
        <v>753</v>
      </c>
      <c r="F140" t="s">
        <v>772</v>
      </c>
      <c r="H140" s="6" t="s">
        <v>111</v>
      </c>
      <c r="I140" s="7" t="s">
        <v>345</v>
      </c>
      <c r="J140" s="7">
        <v>26</v>
      </c>
      <c r="P140" s="10">
        <v>9780300116908</v>
      </c>
      <c r="Q140" s="2"/>
      <c r="R140" s="7"/>
      <c r="Z140" s="4" t="str">
        <f>Z139</f>
        <v>Ebook</v>
      </c>
      <c r="AA140" s="4" t="str">
        <f>I140</f>
        <v>Yale University Press</v>
      </c>
      <c r="AB140" s="5">
        <v>15</v>
      </c>
      <c r="AH140" s="8">
        <v>9780300160208</v>
      </c>
      <c r="AI140" t="str">
        <f t="shared" si="12"/>
        <v>covers/here-in-our.jpg</v>
      </c>
      <c r="AY140" s="34" t="s">
        <v>773</v>
      </c>
      <c r="AZ140" s="38" t="s">
        <v>774</v>
      </c>
      <c r="BD140" t="s">
        <v>23</v>
      </c>
      <c r="BE140" t="s">
        <v>23</v>
      </c>
      <c r="BG140" t="s">
        <v>31</v>
      </c>
    </row>
    <row r="141" spans="1:62" x14ac:dyDescent="0.25">
      <c r="A141" t="s">
        <v>779</v>
      </c>
      <c r="B141" t="s">
        <v>74</v>
      </c>
      <c r="C141">
        <v>850</v>
      </c>
      <c r="D141" s="15" t="s">
        <v>775</v>
      </c>
      <c r="E141" t="s">
        <v>127</v>
      </c>
      <c r="F141" t="s">
        <v>776</v>
      </c>
      <c r="H141" s="6" t="s">
        <v>111</v>
      </c>
      <c r="I141" s="7" t="s">
        <v>564</v>
      </c>
      <c r="J141" s="7">
        <v>23</v>
      </c>
      <c r="P141" s="10">
        <v>9780374258900</v>
      </c>
      <c r="Q141" s="2" t="s">
        <v>112</v>
      </c>
      <c r="R141" s="7" t="str">
        <f>I141</f>
        <v>Farrar, Strauss and Giroux</v>
      </c>
      <c r="S141" s="3">
        <v>14</v>
      </c>
      <c r="Y141" s="21">
        <v>9780374528591</v>
      </c>
      <c r="Z141" s="4"/>
      <c r="AA141" s="4"/>
      <c r="AI141" t="str">
        <f t="shared" si="12"/>
        <v>covers/to-begin-where.jpg</v>
      </c>
      <c r="AY141" s="34" t="s">
        <v>777</v>
      </c>
      <c r="AZ141" s="38" t="s">
        <v>778</v>
      </c>
      <c r="BD141" t="s">
        <v>23</v>
      </c>
      <c r="BE141" t="s">
        <v>23</v>
      </c>
      <c r="BG141" t="s">
        <v>31</v>
      </c>
    </row>
    <row r="142" spans="1:62" x14ac:dyDescent="0.25">
      <c r="A142" t="s">
        <v>780</v>
      </c>
      <c r="B142" t="s">
        <v>74</v>
      </c>
      <c r="C142">
        <v>992</v>
      </c>
      <c r="D142" s="15" t="s">
        <v>781</v>
      </c>
      <c r="E142" t="s">
        <v>782</v>
      </c>
      <c r="H142" s="6" t="s">
        <v>111</v>
      </c>
      <c r="I142" s="7" t="s">
        <v>783</v>
      </c>
      <c r="J142" s="7">
        <v>100</v>
      </c>
      <c r="P142" s="10">
        <v>9780739175903</v>
      </c>
      <c r="Q142" s="2" t="s">
        <v>112</v>
      </c>
      <c r="R142" s="7" t="str">
        <f>I142</f>
        <v>Lexington Books</v>
      </c>
      <c r="S142" s="3">
        <v>57</v>
      </c>
      <c r="Y142" s="21">
        <v>9781498556330</v>
      </c>
      <c r="Z142" s="4" t="str">
        <f>Z140</f>
        <v>Ebook</v>
      </c>
      <c r="AA142" s="4" t="str">
        <f>R142</f>
        <v>Lexington Books</v>
      </c>
      <c r="AB142" s="5">
        <v>54</v>
      </c>
      <c r="AH142" s="8">
        <v>9780739175910</v>
      </c>
      <c r="AI142" t="str">
        <f t="shared" si="12"/>
        <v>covers/melchior-w.jpg</v>
      </c>
      <c r="AY142" s="34" t="s">
        <v>785</v>
      </c>
      <c r="AZ142" s="38" t="s">
        <v>784</v>
      </c>
      <c r="BD142" t="s">
        <v>23</v>
      </c>
      <c r="BE142" t="s">
        <v>23</v>
      </c>
      <c r="BG142" t="s">
        <v>30</v>
      </c>
      <c r="BI142" t="s">
        <v>851</v>
      </c>
      <c r="BJ142">
        <v>1</v>
      </c>
    </row>
    <row r="143" spans="1:62" x14ac:dyDescent="0.25">
      <c r="A143" t="s">
        <v>788</v>
      </c>
      <c r="B143" t="s">
        <v>86</v>
      </c>
      <c r="C143">
        <v>903</v>
      </c>
      <c r="D143" t="s">
        <v>787</v>
      </c>
      <c r="E143" s="15" t="s">
        <v>786</v>
      </c>
      <c r="F143" t="s">
        <v>278</v>
      </c>
      <c r="H143" s="6" t="s">
        <v>111</v>
      </c>
      <c r="I143" s="7" t="str">
        <f>I142</f>
        <v>Lexington Books</v>
      </c>
      <c r="J143" s="7">
        <v>160</v>
      </c>
      <c r="P143" s="10">
        <v>9781666920215</v>
      </c>
      <c r="Q143" s="2" t="s">
        <v>112</v>
      </c>
      <c r="R143" s="7"/>
      <c r="Z143" s="4" t="str">
        <f>Z142</f>
        <v>Ebook</v>
      </c>
      <c r="AA143" s="4" t="str">
        <f>AA142</f>
        <v>Lexington Books</v>
      </c>
      <c r="AB143" s="5">
        <v>144</v>
      </c>
      <c r="AH143" s="8">
        <v>9781666920215</v>
      </c>
      <c r="AI143" t="str">
        <f t="shared" si="12"/>
        <v>covers/monte-cassino.jpg</v>
      </c>
      <c r="AY143" s="34" t="s">
        <v>790</v>
      </c>
      <c r="AZ143" s="38" t="s">
        <v>789</v>
      </c>
      <c r="BD143" t="s">
        <v>23</v>
      </c>
      <c r="BE143" t="s">
        <v>23</v>
      </c>
      <c r="BG143" t="s">
        <v>31</v>
      </c>
      <c r="BI143" t="s">
        <v>851</v>
      </c>
      <c r="BJ143">
        <v>2</v>
      </c>
    </row>
    <row r="144" spans="1:62" x14ac:dyDescent="0.25">
      <c r="A144" t="s">
        <v>791</v>
      </c>
      <c r="B144" t="s">
        <v>74</v>
      </c>
      <c r="C144">
        <v>1002</v>
      </c>
      <c r="D144" s="15" t="s">
        <v>792</v>
      </c>
      <c r="E144" t="s">
        <v>793</v>
      </c>
      <c r="H144" s="6" t="s">
        <v>111</v>
      </c>
      <c r="I144" s="7" t="s">
        <v>794</v>
      </c>
      <c r="J144" s="7">
        <v>22</v>
      </c>
      <c r="P144" s="10">
        <v>9780393866575</v>
      </c>
      <c r="Q144" s="2" t="s">
        <v>112</v>
      </c>
      <c r="R144" s="7"/>
      <c r="Z144" s="4" t="str">
        <f>Z143</f>
        <v>Ebook</v>
      </c>
      <c r="AA144" s="4" t="str">
        <f>I144</f>
        <v>W. W. Norton and Company</v>
      </c>
      <c r="AB144" s="5">
        <v>16</v>
      </c>
      <c r="AH144" s="8">
        <v>9780393866582</v>
      </c>
      <c r="AI144" t="str">
        <f t="shared" si="12"/>
        <v>covers/schulz-hijack.jpg</v>
      </c>
      <c r="AY144" s="34" t="s">
        <v>795</v>
      </c>
      <c r="AZ144" s="38" t="s">
        <v>796</v>
      </c>
      <c r="BD144" t="s">
        <v>23</v>
      </c>
      <c r="BE144" t="s">
        <v>23</v>
      </c>
      <c r="BG144" t="s">
        <v>30</v>
      </c>
      <c r="BI144" t="s">
        <v>850</v>
      </c>
      <c r="BJ144">
        <v>1</v>
      </c>
    </row>
    <row r="145" spans="1:62" x14ac:dyDescent="0.25">
      <c r="A145" t="s">
        <v>797</v>
      </c>
      <c r="B145" t="s">
        <v>78</v>
      </c>
      <c r="C145">
        <v>921</v>
      </c>
      <c r="D145" s="26" t="s">
        <v>798</v>
      </c>
      <c r="E145" t="s">
        <v>799</v>
      </c>
      <c r="F145" t="s">
        <v>800</v>
      </c>
      <c r="H145" s="6"/>
      <c r="Q145" s="2" t="s">
        <v>112</v>
      </c>
      <c r="R145" s="7"/>
      <c r="S145" s="3" t="s">
        <v>801</v>
      </c>
      <c r="T145" s="3">
        <v>8</v>
      </c>
      <c r="Y145" s="21">
        <v>9781517543655</v>
      </c>
      <c r="Z145" s="4"/>
      <c r="AA145" s="4"/>
      <c r="AI145" t="str">
        <f t="shared" si="12"/>
        <v>covers/cinnamon.jpg</v>
      </c>
      <c r="AY145" s="34" t="s">
        <v>802</v>
      </c>
      <c r="BD145" t="s">
        <v>23</v>
      </c>
      <c r="BE145" t="s">
        <v>23</v>
      </c>
      <c r="BG145" t="s">
        <v>31</v>
      </c>
      <c r="BI145" t="s">
        <v>850</v>
      </c>
      <c r="BJ145">
        <v>2</v>
      </c>
    </row>
    <row r="146" spans="1:62" x14ac:dyDescent="0.25">
      <c r="A146" t="s">
        <v>804</v>
      </c>
      <c r="B146" t="s">
        <v>78</v>
      </c>
      <c r="C146">
        <v>932</v>
      </c>
      <c r="D146" s="15" t="s">
        <v>803</v>
      </c>
      <c r="E146" t="str">
        <f>E140</f>
        <v>Tadeusz Borowski</v>
      </c>
      <c r="F146" t="s">
        <v>805</v>
      </c>
      <c r="H146" s="6"/>
      <c r="Q146" s="2" t="s">
        <v>112</v>
      </c>
      <c r="R146" s="7"/>
      <c r="S146" s="3" t="s">
        <v>806</v>
      </c>
      <c r="T146" s="3">
        <v>12</v>
      </c>
      <c r="Y146" s="21">
        <v>9780140186246</v>
      </c>
      <c r="Z146" s="4"/>
      <c r="AA146" s="4"/>
      <c r="AI146" t="str">
        <f t="shared" si="12"/>
        <v>covers/to-the-gas.jpg</v>
      </c>
      <c r="AY146" s="34" t="s">
        <v>807</v>
      </c>
      <c r="BD146" t="s">
        <v>23</v>
      </c>
      <c r="BE146" t="s">
        <v>23</v>
      </c>
      <c r="BG146" t="s">
        <v>31</v>
      </c>
    </row>
    <row r="147" spans="1:62" x14ac:dyDescent="0.25">
      <c r="A147" t="s">
        <v>811</v>
      </c>
      <c r="B147" t="s">
        <v>78</v>
      </c>
      <c r="C147">
        <v>944</v>
      </c>
      <c r="D147" s="26" t="s">
        <v>808</v>
      </c>
      <c r="E147" t="str">
        <f>E145</f>
        <v>Bruno Schulz</v>
      </c>
      <c r="F147" t="s">
        <v>809</v>
      </c>
      <c r="H147" s="6"/>
      <c r="Q147" s="2" t="s">
        <v>112</v>
      </c>
      <c r="R147" s="7"/>
      <c r="S147" s="3" t="s">
        <v>806</v>
      </c>
      <c r="T147" s="3">
        <v>17</v>
      </c>
      <c r="Y147" s="21">
        <v>9780143105145</v>
      </c>
      <c r="Z147" s="4"/>
      <c r="AA147" s="4"/>
      <c r="AI147" t="str">
        <f t="shared" si="12"/>
        <v>covers/street-crocodiles.jpg</v>
      </c>
      <c r="AY147" s="34" t="s">
        <v>810</v>
      </c>
      <c r="BD147" t="s">
        <v>23</v>
      </c>
      <c r="BE147" t="s">
        <v>23</v>
      </c>
      <c r="BG147" t="s">
        <v>31</v>
      </c>
    </row>
    <row r="148" spans="1:62" x14ac:dyDescent="0.25">
      <c r="A148" t="s">
        <v>815</v>
      </c>
      <c r="B148" t="s">
        <v>78</v>
      </c>
      <c r="C148">
        <v>945</v>
      </c>
      <c r="D148" s="15" t="s">
        <v>812</v>
      </c>
      <c r="E148" t="str">
        <f>E147</f>
        <v>Bruno Schulz</v>
      </c>
      <c r="F148" t="s">
        <v>813</v>
      </c>
      <c r="H148" s="6"/>
      <c r="Q148" s="2" t="s">
        <v>112</v>
      </c>
      <c r="R148" s="7"/>
      <c r="S148" s="3" t="s">
        <v>814</v>
      </c>
      <c r="T148" s="3">
        <v>11</v>
      </c>
      <c r="Y148" s="21">
        <v>9781782277897</v>
      </c>
      <c r="Z148" s="4" t="s">
        <v>113</v>
      </c>
      <c r="AA148" s="4" t="s">
        <v>726</v>
      </c>
      <c r="AB148" s="5">
        <v>11</v>
      </c>
      <c r="AH148" s="8">
        <v>9781782277903</v>
      </c>
      <c r="AI148" t="str">
        <f t="shared" si="12"/>
        <v>covers/nocturnal-apparitions.jpg</v>
      </c>
      <c r="AY148" s="34" t="s">
        <v>816</v>
      </c>
      <c r="AZ148" s="38" t="s">
        <v>817</v>
      </c>
      <c r="BD148" t="s">
        <v>23</v>
      </c>
      <c r="BE148" t="s">
        <v>23</v>
      </c>
      <c r="BG148" t="s">
        <v>31</v>
      </c>
    </row>
    <row r="149" spans="1:62" x14ac:dyDescent="0.25">
      <c r="A149" t="s">
        <v>819</v>
      </c>
      <c r="B149" t="s">
        <v>78</v>
      </c>
      <c r="C149">
        <v>988</v>
      </c>
      <c r="D149" s="26" t="s">
        <v>818</v>
      </c>
      <c r="E149" t="str">
        <f>E139</f>
        <v>Stanisław Ignacy Witkiewicz</v>
      </c>
      <c r="F149" t="s">
        <v>809</v>
      </c>
      <c r="H149" s="6"/>
      <c r="Q149" s="2" t="s">
        <v>112</v>
      </c>
      <c r="R149" s="7"/>
      <c r="S149" s="3" t="s">
        <v>820</v>
      </c>
      <c r="T149" s="3">
        <v>13</v>
      </c>
      <c r="Y149" s="21">
        <v>9780692519554</v>
      </c>
      <c r="Z149" s="4"/>
      <c r="AA149" s="4"/>
      <c r="AI149" t="str">
        <f t="shared" si="12"/>
        <v>covers/vahazar.jpg</v>
      </c>
      <c r="AY149" s="34" t="s">
        <v>821</v>
      </c>
      <c r="BD149" t="s">
        <v>23</v>
      </c>
      <c r="BE149" t="s">
        <v>23</v>
      </c>
      <c r="BG149" t="s">
        <v>31</v>
      </c>
    </row>
    <row r="150" spans="1:62" x14ac:dyDescent="0.25">
      <c r="A150" t="s">
        <v>824</v>
      </c>
      <c r="B150" t="s">
        <v>78</v>
      </c>
      <c r="C150">
        <v>989</v>
      </c>
      <c r="D150" s="15" t="s">
        <v>822</v>
      </c>
      <c r="E150" t="s">
        <v>54</v>
      </c>
      <c r="F150" t="s">
        <v>823</v>
      </c>
      <c r="H150" s="6"/>
      <c r="Q150" s="2" t="s">
        <v>112</v>
      </c>
      <c r="R150" s="7"/>
      <c r="S150" s="3" t="s">
        <v>825</v>
      </c>
      <c r="T150" s="3">
        <v>12</v>
      </c>
      <c r="Y150" s="21">
        <v>9780979123672</v>
      </c>
      <c r="Z150" s="4" t="s">
        <v>113</v>
      </c>
      <c r="AA150" s="4" t="str">
        <f>S150</f>
        <v>Young Poland Revisited</v>
      </c>
      <c r="AB150" s="5">
        <v>4.5</v>
      </c>
      <c r="AH150" s="8" t="s">
        <v>826</v>
      </c>
      <c r="AI150" t="str">
        <f t="shared" si="12"/>
        <v>covers/women.jpg</v>
      </c>
      <c r="AY150" s="34" t="s">
        <v>827</v>
      </c>
      <c r="BD150" t="s">
        <v>23</v>
      </c>
      <c r="BE150" t="s">
        <v>23</v>
      </c>
      <c r="BG150" t="s">
        <v>31</v>
      </c>
    </row>
    <row r="151" spans="1:62" x14ac:dyDescent="0.25">
      <c r="A151" t="s">
        <v>829</v>
      </c>
      <c r="B151" t="s">
        <v>78</v>
      </c>
      <c r="C151">
        <v>1001</v>
      </c>
      <c r="D151" s="26" t="s">
        <v>828</v>
      </c>
      <c r="E151" t="s">
        <v>54</v>
      </c>
      <c r="F151" t="s">
        <v>830</v>
      </c>
      <c r="H151" s="6"/>
      <c r="Q151" s="2" t="s">
        <v>112</v>
      </c>
      <c r="R151" s="7"/>
      <c r="S151" s="3" t="s">
        <v>834</v>
      </c>
      <c r="T151" s="3">
        <v>28</v>
      </c>
      <c r="Y151" s="21">
        <v>9780875807409</v>
      </c>
      <c r="Z151" s="4" t="s">
        <v>113</v>
      </c>
      <c r="AA151" s="4" t="str">
        <f>S151</f>
        <v>Northern Illinois University</v>
      </c>
      <c r="AB151" s="5">
        <v>17</v>
      </c>
      <c r="AH151" s="27">
        <v>9781609092016</v>
      </c>
      <c r="AI151" t="str">
        <f t="shared" si="12"/>
        <v>covers/boundary.jpg</v>
      </c>
      <c r="AY151" s="34" t="s">
        <v>831</v>
      </c>
      <c r="AZ151" s="38" t="s">
        <v>832</v>
      </c>
      <c r="BD151" t="s">
        <v>23</v>
      </c>
      <c r="BE151" t="s">
        <v>23</v>
      </c>
      <c r="BG151" t="s">
        <v>31</v>
      </c>
    </row>
    <row r="152" spans="1:62" x14ac:dyDescent="0.25">
      <c r="A152" t="s">
        <v>838</v>
      </c>
      <c r="B152" t="s">
        <v>78</v>
      </c>
      <c r="C152">
        <v>1003</v>
      </c>
      <c r="D152" s="15" t="s">
        <v>833</v>
      </c>
      <c r="E152" t="s">
        <v>54</v>
      </c>
      <c r="F152" t="s">
        <v>836</v>
      </c>
      <c r="H152" s="6"/>
      <c r="Q152" s="2" t="s">
        <v>112</v>
      </c>
      <c r="R152" s="7"/>
      <c r="S152" s="3" t="s">
        <v>834</v>
      </c>
      <c r="T152" s="3">
        <v>12</v>
      </c>
      <c r="Y152" s="21">
        <v>9780875807102</v>
      </c>
      <c r="Z152" s="4"/>
      <c r="AA152" s="4"/>
      <c r="AI152" t="str">
        <f t="shared" si="12"/>
        <v>covers/romance-teresa.jpg</v>
      </c>
      <c r="AY152" s="34" t="s">
        <v>835</v>
      </c>
      <c r="AZ152" s="38" t="s">
        <v>837</v>
      </c>
      <c r="BD152" t="s">
        <v>23</v>
      </c>
      <c r="BE152" t="s">
        <v>23</v>
      </c>
      <c r="BG152" t="s">
        <v>31</v>
      </c>
      <c r="BI152" t="s">
        <v>849</v>
      </c>
      <c r="BJ152">
        <v>1</v>
      </c>
    </row>
    <row r="153" spans="1:62" x14ac:dyDescent="0.25">
      <c r="A153" t="s">
        <v>841</v>
      </c>
      <c r="B153" t="s">
        <v>78</v>
      </c>
      <c r="C153">
        <v>1005</v>
      </c>
      <c r="D153" s="15" t="s">
        <v>839</v>
      </c>
      <c r="E153" t="s">
        <v>54</v>
      </c>
      <c r="F153" t="s">
        <v>840</v>
      </c>
      <c r="H153" s="6" t="s">
        <v>111</v>
      </c>
      <c r="I153" s="7" t="str">
        <f>S153</f>
        <v>Northwestern University Press</v>
      </c>
      <c r="J153" s="7">
        <v>45</v>
      </c>
      <c r="P153" s="10">
        <v>9780810117426</v>
      </c>
      <c r="Q153" s="2" t="s">
        <v>112</v>
      </c>
      <c r="R153" s="7"/>
      <c r="S153" s="3" t="s">
        <v>229</v>
      </c>
      <c r="T153" s="3">
        <v>15</v>
      </c>
      <c r="Y153" s="21">
        <v>9780810117433</v>
      </c>
      <c r="Z153" s="4"/>
      <c r="AA153" s="4"/>
      <c r="AI153" t="str">
        <f t="shared" si="12"/>
        <v>covers/medalions.jpg</v>
      </c>
      <c r="AY153" s="34" t="s">
        <v>847</v>
      </c>
      <c r="AZ153" s="38" t="s">
        <v>848</v>
      </c>
      <c r="BD153" t="s">
        <v>23</v>
      </c>
      <c r="BE153" t="s">
        <v>23</v>
      </c>
      <c r="BG153" t="s">
        <v>31</v>
      </c>
      <c r="BI153" t="s">
        <v>849</v>
      </c>
      <c r="BJ153">
        <v>2</v>
      </c>
    </row>
    <row r="154" spans="1:62" x14ac:dyDescent="0.25">
      <c r="A154" t="s">
        <v>845</v>
      </c>
      <c r="B154" t="s">
        <v>74</v>
      </c>
      <c r="C154">
        <v>951</v>
      </c>
      <c r="D154" s="15" t="s">
        <v>842</v>
      </c>
      <c r="E154" t="s">
        <v>843</v>
      </c>
      <c r="H154" s="6"/>
      <c r="Q154" s="2" t="s">
        <v>112</v>
      </c>
      <c r="R154" s="7"/>
      <c r="S154" s="3" t="s">
        <v>844</v>
      </c>
      <c r="T154" s="3">
        <v>23</v>
      </c>
      <c r="Y154" s="21">
        <v>9781910895320</v>
      </c>
      <c r="Z154" s="4"/>
      <c r="AA154" s="4"/>
      <c r="AI154" t="str">
        <f t="shared" si="12"/>
        <v>covers/corsets.jpg</v>
      </c>
      <c r="AY154" s="34" t="s">
        <v>846</v>
      </c>
      <c r="BD154" t="s">
        <v>23</v>
      </c>
      <c r="BE154" t="s">
        <v>23</v>
      </c>
      <c r="BG154" t="s">
        <v>30</v>
      </c>
      <c r="BI154" t="s">
        <v>849</v>
      </c>
      <c r="BJ154">
        <v>3</v>
      </c>
    </row>
    <row r="155" spans="1:62" x14ac:dyDescent="0.25">
      <c r="A155" t="s">
        <v>857</v>
      </c>
      <c r="B155" t="s">
        <v>301</v>
      </c>
      <c r="C155">
        <v>834</v>
      </c>
      <c r="D155" s="15" t="s">
        <v>854</v>
      </c>
      <c r="E155" t="s">
        <v>855</v>
      </c>
      <c r="F155" t="s">
        <v>859</v>
      </c>
      <c r="H155" s="6"/>
      <c r="Q155" s="2"/>
      <c r="R155" s="7"/>
      <c r="Z155" s="4" t="s">
        <v>113</v>
      </c>
      <c r="AA155" s="4" t="s">
        <v>856</v>
      </c>
      <c r="AB155" s="5">
        <v>3.3</v>
      </c>
      <c r="AH155" s="8">
        <v>9781849168472</v>
      </c>
      <c r="AI155" t="str">
        <f t="shared" si="12"/>
        <v>covers/phtanoms-breslau.jpg</v>
      </c>
      <c r="AY155" s="34" t="s">
        <v>858</v>
      </c>
      <c r="BD155" t="s">
        <v>23</v>
      </c>
      <c r="BE155" t="s">
        <v>23</v>
      </c>
      <c r="BG155" t="s">
        <v>31</v>
      </c>
    </row>
    <row r="156" spans="1:62" x14ac:dyDescent="0.25">
      <c r="A156" t="s">
        <v>861</v>
      </c>
      <c r="B156" t="s">
        <v>301</v>
      </c>
      <c r="C156">
        <v>835</v>
      </c>
      <c r="D156" s="28" t="s">
        <v>860</v>
      </c>
      <c r="E156" t="s">
        <v>855</v>
      </c>
      <c r="F156" t="s">
        <v>859</v>
      </c>
      <c r="H156" s="6"/>
      <c r="Q156" s="2"/>
      <c r="R156" s="7"/>
      <c r="Z156" s="4" t="s">
        <v>113</v>
      </c>
      <c r="AA156" s="4" t="s">
        <v>856</v>
      </c>
      <c r="AB156" s="5">
        <v>6</v>
      </c>
      <c r="AH156" s="8">
        <v>9781849166591</v>
      </c>
      <c r="AI156" t="str">
        <f t="shared" si="12"/>
        <v>covers/death-breslau.jpg</v>
      </c>
      <c r="AY156" s="34" t="s">
        <v>862</v>
      </c>
      <c r="AZ156" s="38" t="s">
        <v>863</v>
      </c>
      <c r="BD156" t="s">
        <v>23</v>
      </c>
      <c r="BE156" t="s">
        <v>23</v>
      </c>
      <c r="BG156" t="s">
        <v>31</v>
      </c>
    </row>
    <row r="157" spans="1:62" x14ac:dyDescent="0.25">
      <c r="A157" t="s">
        <v>864</v>
      </c>
      <c r="B157" t="s">
        <v>301</v>
      </c>
      <c r="C157">
        <v>835</v>
      </c>
      <c r="D157" s="15" t="s">
        <v>865</v>
      </c>
      <c r="E157" t="s">
        <v>855</v>
      </c>
      <c r="F157" t="s">
        <v>859</v>
      </c>
      <c r="H157" s="6" t="s">
        <v>111</v>
      </c>
      <c r="I157" s="7" t="s">
        <v>866</v>
      </c>
      <c r="J157" s="7">
        <v>25</v>
      </c>
      <c r="P157" s="10">
        <v>9781612191775</v>
      </c>
      <c r="Q157" s="2"/>
      <c r="R157" s="7"/>
      <c r="Z157" s="4" t="s">
        <v>113</v>
      </c>
      <c r="AA157" s="4" t="s">
        <v>856</v>
      </c>
      <c r="AB157" s="5">
        <v>3.3</v>
      </c>
      <c r="AH157" s="8">
        <v>9781849166850</v>
      </c>
      <c r="AI157" t="str">
        <f t="shared" si="12"/>
        <v>covers/end-breslau.jpg</v>
      </c>
      <c r="AY157" s="34" t="s">
        <v>867</v>
      </c>
      <c r="AZ157" s="38" t="s">
        <v>868</v>
      </c>
      <c r="BD157" t="s">
        <v>23</v>
      </c>
      <c r="BE157" t="s">
        <v>23</v>
      </c>
      <c r="BG157" t="s">
        <v>31</v>
      </c>
    </row>
    <row r="158" spans="1:62" x14ac:dyDescent="0.25">
      <c r="A158" t="s">
        <v>870</v>
      </c>
      <c r="B158" t="s">
        <v>301</v>
      </c>
      <c r="C158">
        <v>836</v>
      </c>
      <c r="D158" s="15" t="s">
        <v>869</v>
      </c>
      <c r="E158" t="s">
        <v>855</v>
      </c>
      <c r="F158" t="s">
        <v>859</v>
      </c>
      <c r="H158" s="6"/>
      <c r="Q158" s="2" t="s">
        <v>112</v>
      </c>
      <c r="R158" s="7" t="s">
        <v>856</v>
      </c>
      <c r="S158" s="3">
        <v>17</v>
      </c>
      <c r="Y158" s="21">
        <v>9781848662926</v>
      </c>
      <c r="AH158" s="8">
        <v>9781849166256</v>
      </c>
      <c r="AI158" t="str">
        <f t="shared" si="12"/>
        <v>covers/minotaur.jpg</v>
      </c>
      <c r="AY158" s="34" t="s">
        <v>871</v>
      </c>
      <c r="BD158" t="s">
        <v>23</v>
      </c>
      <c r="BE158" t="s">
        <v>23</v>
      </c>
      <c r="BG158" t="s">
        <v>31</v>
      </c>
    </row>
    <row r="159" spans="1:62" x14ac:dyDescent="0.25">
      <c r="A159" t="s">
        <v>872</v>
      </c>
      <c r="B159" t="s">
        <v>78</v>
      </c>
      <c r="C159">
        <v>756</v>
      </c>
      <c r="D159" s="15" t="s">
        <v>873</v>
      </c>
      <c r="E159" t="s">
        <v>874</v>
      </c>
      <c r="F159" t="s">
        <v>875</v>
      </c>
      <c r="H159" s="6"/>
      <c r="Q159" s="2" t="s">
        <v>112</v>
      </c>
      <c r="R159" s="7" t="s">
        <v>229</v>
      </c>
      <c r="S159" s="3">
        <v>24</v>
      </c>
      <c r="Y159" s="21">
        <v>9780810142879</v>
      </c>
      <c r="Z159" s="4" t="s">
        <v>113</v>
      </c>
      <c r="AA159" s="4" t="str">
        <f>R159</f>
        <v>Northwestern University Press</v>
      </c>
      <c r="AB159" s="5">
        <v>24</v>
      </c>
      <c r="AH159" s="8">
        <v>9780810142886</v>
      </c>
      <c r="AI159" t="str">
        <f t="shared" si="12"/>
        <v>covers/niko-dyzma.jpg</v>
      </c>
      <c r="AY159" s="34" t="s">
        <v>877</v>
      </c>
      <c r="AZ159" s="38" t="s">
        <v>876</v>
      </c>
      <c r="BD159" t="s">
        <v>23</v>
      </c>
      <c r="BE159" t="s">
        <v>23</v>
      </c>
      <c r="BG159" t="s">
        <v>31</v>
      </c>
    </row>
    <row r="160" spans="1:62" x14ac:dyDescent="0.25">
      <c r="A160" t="s">
        <v>878</v>
      </c>
      <c r="B160" t="s">
        <v>126</v>
      </c>
      <c r="C160">
        <v>820</v>
      </c>
      <c r="D160" s="15" t="s">
        <v>879</v>
      </c>
      <c r="E160" t="s">
        <v>70</v>
      </c>
      <c r="F160" t="s">
        <v>885</v>
      </c>
      <c r="H160" s="6"/>
      <c r="Q160" s="2" t="s">
        <v>112</v>
      </c>
      <c r="R160" s="7" t="s">
        <v>880</v>
      </c>
      <c r="S160" s="3">
        <v>17</v>
      </c>
      <c r="Y160" s="21">
        <v>9781897231371</v>
      </c>
      <c r="Z160" s="4"/>
      <c r="AA160" s="4"/>
      <c r="AI160" t="str">
        <f t="shared" si="12"/>
        <v>covers/wrote-stone.jpg</v>
      </c>
      <c r="AY160" s="34" t="s">
        <v>882</v>
      </c>
      <c r="AZ160" s="38" t="s">
        <v>881</v>
      </c>
      <c r="BD160" t="s">
        <v>23</v>
      </c>
      <c r="BE160" t="s">
        <v>23</v>
      </c>
      <c r="BG160" t="s">
        <v>31</v>
      </c>
    </row>
    <row r="161" spans="1:59" x14ac:dyDescent="0.25">
      <c r="A161" t="s">
        <v>884</v>
      </c>
      <c r="B161" t="s">
        <v>78</v>
      </c>
      <c r="C161">
        <v>975</v>
      </c>
      <c r="D161" s="15" t="s">
        <v>883</v>
      </c>
      <c r="E161" t="s">
        <v>893</v>
      </c>
      <c r="F161" t="s">
        <v>830</v>
      </c>
      <c r="G161" t="s">
        <v>889</v>
      </c>
      <c r="H161" s="6" t="s">
        <v>111</v>
      </c>
      <c r="I161" s="7" t="str">
        <f>R161</f>
        <v>Twisted Spoon Press</v>
      </c>
      <c r="J161" s="7">
        <v>27</v>
      </c>
      <c r="P161" s="10">
        <v>9781804840511</v>
      </c>
      <c r="Q161" s="2" t="s">
        <v>112</v>
      </c>
      <c r="R161" s="7" t="s">
        <v>886</v>
      </c>
      <c r="S161" s="3">
        <v>20</v>
      </c>
      <c r="Y161" s="21">
        <v>9788088628019</v>
      </c>
      <c r="Z161" s="4" t="s">
        <v>113</v>
      </c>
      <c r="AA161" s="4" t="str">
        <f>R161</f>
        <v>Twisted Spoon Press</v>
      </c>
      <c r="AB161" s="5">
        <v>10</v>
      </c>
      <c r="AH161" s="8">
        <v>9788088628347</v>
      </c>
      <c r="AI161" t="str">
        <f t="shared" si="12"/>
        <v>covers/phoebe-hicks.jpg</v>
      </c>
      <c r="AY161" s="34" t="s">
        <v>887</v>
      </c>
      <c r="AZ161" s="38" t="s">
        <v>890</v>
      </c>
      <c r="BD161" t="s">
        <v>23</v>
      </c>
      <c r="BE161" t="s">
        <v>23</v>
      </c>
      <c r="BG161" t="s">
        <v>31</v>
      </c>
    </row>
    <row r="162" spans="1:59" x14ac:dyDescent="0.25">
      <c r="A162" t="s">
        <v>891</v>
      </c>
      <c r="B162" t="s">
        <v>78</v>
      </c>
      <c r="C162">
        <v>980</v>
      </c>
      <c r="D162" s="15" t="s">
        <v>892</v>
      </c>
      <c r="E162" t="s">
        <v>894</v>
      </c>
      <c r="F162" t="s">
        <v>899</v>
      </c>
      <c r="H162" s="6"/>
      <c r="Q162" s="2" t="s">
        <v>112</v>
      </c>
      <c r="R162" s="7" t="s">
        <v>900</v>
      </c>
      <c r="S162" s="3">
        <v>20</v>
      </c>
      <c r="Y162" s="21">
        <v>9780692037690</v>
      </c>
      <c r="AA162" s="4"/>
      <c r="AI162" t="str">
        <f t="shared" si="12"/>
        <v>covers/roman-spring.jpg</v>
      </c>
      <c r="AY162" s="34" t="s">
        <v>895</v>
      </c>
      <c r="BD162" t="s">
        <v>23</v>
      </c>
      <c r="BE162" t="s">
        <v>23</v>
      </c>
      <c r="BG162" t="s">
        <v>31</v>
      </c>
    </row>
    <row r="163" spans="1:59" x14ac:dyDescent="0.25">
      <c r="A163" t="s">
        <v>896</v>
      </c>
      <c r="B163" t="s">
        <v>126</v>
      </c>
      <c r="C163">
        <v>891</v>
      </c>
      <c r="D163" s="15" t="s">
        <v>897</v>
      </c>
      <c r="E163" t="s">
        <v>898</v>
      </c>
      <c r="F163" t="s">
        <v>278</v>
      </c>
      <c r="H163" s="6" t="s">
        <v>111</v>
      </c>
      <c r="I163" s="7" t="s">
        <v>277</v>
      </c>
      <c r="J163" s="7">
        <v>31</v>
      </c>
      <c r="Q163" s="2" t="s">
        <v>112</v>
      </c>
      <c r="R163" s="7" t="str">
        <f>I163</f>
        <v>Glagoslav Publications B.V.</v>
      </c>
      <c r="S163" s="3">
        <v>27</v>
      </c>
      <c r="Y163" s="21">
        <v>9781804840504</v>
      </c>
      <c r="Z163" s="4" t="s">
        <v>113</v>
      </c>
      <c r="AA163" s="4" t="str">
        <f>R163</f>
        <v>Glagoslav Publications B.V.</v>
      </c>
      <c r="AB163" s="5">
        <v>10</v>
      </c>
      <c r="AH163" s="8">
        <v>9781804840528</v>
      </c>
      <c r="AI163" t="str">
        <f t="shared" si="12"/>
        <v>covers/kochanowski-selected.jpg</v>
      </c>
      <c r="AY163" s="34" t="s">
        <v>901</v>
      </c>
      <c r="AZ163" s="38" t="s">
        <v>902</v>
      </c>
      <c r="BD163" t="s">
        <v>23</v>
      </c>
      <c r="BE163" t="s">
        <v>23</v>
      </c>
      <c r="BG163" t="s">
        <v>31</v>
      </c>
    </row>
    <row r="164" spans="1:59" x14ac:dyDescent="0.25">
      <c r="A164" t="s">
        <v>904</v>
      </c>
      <c r="B164" t="s">
        <v>126</v>
      </c>
      <c r="C164">
        <v>899</v>
      </c>
      <c r="D164" s="15" t="s">
        <v>903</v>
      </c>
      <c r="E164" t="s">
        <v>905</v>
      </c>
      <c r="F164" t="s">
        <v>906</v>
      </c>
      <c r="H164" s="6"/>
      <c r="Q164" s="2" t="s">
        <v>112</v>
      </c>
      <c r="R164" s="7" t="s">
        <v>907</v>
      </c>
      <c r="S164" s="3">
        <v>21</v>
      </c>
      <c r="Y164" s="21">
        <v>9780691013800</v>
      </c>
      <c r="Z164" s="4" t="s">
        <v>113</v>
      </c>
      <c r="AA164" s="4" t="str">
        <f>R164</f>
        <v>Princeton University Press</v>
      </c>
      <c r="AB164" s="5">
        <v>16</v>
      </c>
      <c r="AH164" s="8">
        <v>9780691213040</v>
      </c>
      <c r="AI164" t="str">
        <f t="shared" si="12"/>
        <v>covers/sounds-feelings.jpg</v>
      </c>
      <c r="AY164" s="34" t="s">
        <v>909</v>
      </c>
      <c r="AZ164" s="38" t="s">
        <v>908</v>
      </c>
      <c r="BD164" t="s">
        <v>23</v>
      </c>
      <c r="BE164" t="s">
        <v>23</v>
      </c>
      <c r="BG164" t="s">
        <v>31</v>
      </c>
    </row>
    <row r="165" spans="1:59" x14ac:dyDescent="0.25">
      <c r="A165" t="s">
        <v>911</v>
      </c>
      <c r="B165" t="s">
        <v>78</v>
      </c>
      <c r="C165">
        <v>945</v>
      </c>
      <c r="D165" s="15" t="s">
        <v>910</v>
      </c>
      <c r="E165" t="s">
        <v>912</v>
      </c>
      <c r="F165" t="s">
        <v>830</v>
      </c>
      <c r="H165" s="6"/>
      <c r="Q165" s="2" t="s">
        <v>112</v>
      </c>
      <c r="R165" s="7" t="s">
        <v>534</v>
      </c>
      <c r="S165" s="3">
        <v>20</v>
      </c>
      <c r="Y165" s="21">
        <v>9780875806846</v>
      </c>
      <c r="Z165" s="4" t="s">
        <v>113</v>
      </c>
      <c r="AA165" s="4" t="str">
        <f>R165</f>
        <v>Northern Illinois University Press</v>
      </c>
      <c r="AB165" s="5">
        <v>10</v>
      </c>
      <c r="AH165" s="8">
        <v>9781609090692</v>
      </c>
      <c r="AI165" t="str">
        <f t="shared" si="12"/>
        <v>covers/the-heathen.jpg</v>
      </c>
      <c r="AY165" s="34" t="s">
        <v>913</v>
      </c>
      <c r="BD165" t="s">
        <v>23</v>
      </c>
      <c r="BE165" t="s">
        <v>23</v>
      </c>
      <c r="BG165" t="s">
        <v>31</v>
      </c>
    </row>
    <row r="166" spans="1:59" x14ac:dyDescent="0.25">
      <c r="A166" t="s">
        <v>914</v>
      </c>
      <c r="B166" t="s">
        <v>78</v>
      </c>
      <c r="C166">
        <v>947</v>
      </c>
      <c r="D166" s="15" t="s">
        <v>915</v>
      </c>
      <c r="E166" t="s">
        <v>916</v>
      </c>
      <c r="F166" t="s">
        <v>830</v>
      </c>
      <c r="H166" s="6"/>
      <c r="Q166" s="2" t="s">
        <v>112</v>
      </c>
      <c r="R166" s="7" t="s">
        <v>534</v>
      </c>
      <c r="S166" s="3">
        <v>18</v>
      </c>
      <c r="Y166" s="21">
        <v>9780875804507</v>
      </c>
      <c r="Z166" s="4" t="s">
        <v>113</v>
      </c>
      <c r="AA166" s="4"/>
      <c r="AI166" t="str">
        <f t="shared" si="12"/>
        <v>covers/malvina.jpg</v>
      </c>
      <c r="AY166" s="34" t="s">
        <v>917</v>
      </c>
      <c r="AZ166" s="38" t="s">
        <v>918</v>
      </c>
      <c r="BD166" t="s">
        <v>23</v>
      </c>
      <c r="BE166" t="s">
        <v>23</v>
      </c>
      <c r="BG166" t="s">
        <v>31</v>
      </c>
    </row>
    <row r="167" spans="1:59" x14ac:dyDescent="0.25">
      <c r="A167" t="s">
        <v>920</v>
      </c>
      <c r="B167" t="s">
        <v>78</v>
      </c>
      <c r="C167">
        <v>923</v>
      </c>
      <c r="D167" s="15" t="s">
        <v>919</v>
      </c>
      <c r="E167" t="s">
        <v>921</v>
      </c>
      <c r="F167" t="s">
        <v>830</v>
      </c>
      <c r="H167" s="6"/>
      <c r="Q167" s="2" t="s">
        <v>112</v>
      </c>
      <c r="R167" s="7" t="s">
        <v>922</v>
      </c>
      <c r="S167" s="3">
        <v>15</v>
      </c>
      <c r="Y167" s="21">
        <v>9798363629457</v>
      </c>
      <c r="Z167" s="4" t="s">
        <v>113</v>
      </c>
      <c r="AA167" s="4" t="s">
        <v>923</v>
      </c>
      <c r="AB167" s="5">
        <v>15</v>
      </c>
      <c r="AH167" s="8" t="s">
        <v>924</v>
      </c>
      <c r="AI167" t="str">
        <f t="shared" si="12"/>
        <v>covers/bird-streets.jpg</v>
      </c>
      <c r="AY167" s="29" t="s">
        <v>925</v>
      </c>
      <c r="BD167" t="s">
        <v>23</v>
      </c>
      <c r="BE167" t="s">
        <v>23</v>
      </c>
      <c r="BG167" t="s">
        <v>31</v>
      </c>
    </row>
    <row r="168" spans="1:59" x14ac:dyDescent="0.25">
      <c r="A168" t="s">
        <v>927</v>
      </c>
      <c r="B168" t="s">
        <v>742</v>
      </c>
      <c r="C168">
        <v>945</v>
      </c>
      <c r="D168" s="15" t="s">
        <v>926</v>
      </c>
      <c r="E168" t="s">
        <v>748</v>
      </c>
      <c r="F168" t="s">
        <v>928</v>
      </c>
      <c r="H168" s="6" t="s">
        <v>111</v>
      </c>
      <c r="I168" s="7" t="s">
        <v>243</v>
      </c>
      <c r="J168" s="7">
        <v>200</v>
      </c>
      <c r="P168" s="10">
        <v>9789057020018</v>
      </c>
      <c r="Q168" s="2" t="s">
        <v>112</v>
      </c>
      <c r="R168" s="7" t="str">
        <f>I168</f>
        <v>Routledge</v>
      </c>
      <c r="S168" s="3">
        <v>44</v>
      </c>
      <c r="Y168" s="21">
        <v>9789057020025</v>
      </c>
      <c r="Z168" s="4" t="s">
        <v>113</v>
      </c>
      <c r="AA168" s="4" t="str">
        <f>R168</f>
        <v>Routledge</v>
      </c>
      <c r="AB168" s="5">
        <v>42</v>
      </c>
      <c r="AH168" s="8">
        <v>9781135299897</v>
      </c>
      <c r="AI168" t="str">
        <f t="shared" si="12"/>
        <v>covers/country-house.jpg</v>
      </c>
      <c r="AY168" s="30" t="s">
        <v>929</v>
      </c>
      <c r="BD168" t="s">
        <v>23</v>
      </c>
      <c r="BE168" t="s">
        <v>23</v>
      </c>
      <c r="BG168" t="s">
        <v>31</v>
      </c>
    </row>
    <row r="169" spans="1:59" x14ac:dyDescent="0.25">
      <c r="A169" t="s">
        <v>931</v>
      </c>
      <c r="B169" t="s">
        <v>215</v>
      </c>
      <c r="C169">
        <v>955</v>
      </c>
      <c r="D169" s="15" t="s">
        <v>932</v>
      </c>
      <c r="E169" t="s">
        <v>933</v>
      </c>
      <c r="G169" t="s">
        <v>934</v>
      </c>
      <c r="H169" s="6" t="s">
        <v>111</v>
      </c>
      <c r="I169" s="7" t="s">
        <v>935</v>
      </c>
      <c r="J169" s="7">
        <v>17</v>
      </c>
      <c r="P169" s="10">
        <v>9780500650974</v>
      </c>
      <c r="Q169" s="2"/>
      <c r="R169" s="7"/>
      <c r="Z169" s="4"/>
      <c r="AA169" s="4"/>
      <c r="AI169" t="str">
        <f t="shared" si="12"/>
        <v>covers/locomotive.jpg</v>
      </c>
      <c r="AY169" s="31" t="s">
        <v>930</v>
      </c>
      <c r="BD169" t="s">
        <v>23</v>
      </c>
      <c r="BE169" t="s">
        <v>23</v>
      </c>
      <c r="BG169" t="s">
        <v>31</v>
      </c>
    </row>
    <row r="170" spans="1:59" x14ac:dyDescent="0.25">
      <c r="A170" t="s">
        <v>938</v>
      </c>
      <c r="B170" t="s">
        <v>215</v>
      </c>
      <c r="C170">
        <v>1005</v>
      </c>
      <c r="D170" s="32" t="s">
        <v>937</v>
      </c>
      <c r="E170" t="s">
        <v>936</v>
      </c>
      <c r="H170" s="6" t="s">
        <v>111</v>
      </c>
      <c r="I170" s="7" t="s">
        <v>939</v>
      </c>
      <c r="J170" s="7">
        <v>110</v>
      </c>
      <c r="P170" s="33">
        <v>9788375763454</v>
      </c>
      <c r="Q170" s="2"/>
      <c r="R170" s="7"/>
      <c r="Z170" s="4"/>
      <c r="AA170" s="4"/>
      <c r="AI170" t="str">
        <f t="shared" si="12"/>
        <v>covers/zofia-stry.jpg</v>
      </c>
      <c r="AY170" s="29" t="s">
        <v>940</v>
      </c>
      <c r="BD170" t="s">
        <v>23</v>
      </c>
      <c r="BE170" t="s">
        <v>23</v>
      </c>
      <c r="BG170" t="s">
        <v>31</v>
      </c>
    </row>
    <row r="171" spans="1:59" x14ac:dyDescent="0.25">
      <c r="A171" t="s">
        <v>941</v>
      </c>
      <c r="B171" t="s">
        <v>215</v>
      </c>
      <c r="C171">
        <v>1007</v>
      </c>
      <c r="D171" s="15" t="s">
        <v>942</v>
      </c>
      <c r="E171" t="s">
        <v>943</v>
      </c>
      <c r="F171" t="s">
        <v>944</v>
      </c>
      <c r="H171" s="6" t="s">
        <v>111</v>
      </c>
      <c r="I171" s="1" t="s">
        <v>922</v>
      </c>
      <c r="J171" s="7">
        <v>21</v>
      </c>
      <c r="P171" s="10">
        <v>9798242135505</v>
      </c>
      <c r="Q171" s="2" t="str">
        <f>Q168</f>
        <v>Paperback</v>
      </c>
      <c r="R171" s="7" t="str">
        <f>I171</f>
        <v>Independently published</v>
      </c>
      <c r="S171" s="3">
        <v>21</v>
      </c>
      <c r="Y171" s="21">
        <v>9781543240900</v>
      </c>
      <c r="Z171" s="4" t="s">
        <v>113</v>
      </c>
      <c r="AA171" s="4" t="str">
        <f>R171</f>
        <v>Independently published</v>
      </c>
      <c r="AB171" s="5">
        <v>0.99</v>
      </c>
      <c r="AH171" s="8" t="s">
        <v>946</v>
      </c>
      <c r="AI171" t="str">
        <f t="shared" si="12"/>
        <v>covers/67-tales.jpg</v>
      </c>
      <c r="AY171" s="34" t="s">
        <v>945</v>
      </c>
      <c r="BD171" t="s">
        <v>23</v>
      </c>
      <c r="BE171" t="s">
        <v>23</v>
      </c>
      <c r="BG171" t="s">
        <v>31</v>
      </c>
    </row>
    <row r="172" spans="1:59" x14ac:dyDescent="0.25">
      <c r="A172" t="s">
        <v>947</v>
      </c>
      <c r="B172" t="s">
        <v>74</v>
      </c>
      <c r="C172">
        <v>1008</v>
      </c>
      <c r="D172" s="15" t="s">
        <v>948</v>
      </c>
      <c r="E172" t="s">
        <v>949</v>
      </c>
      <c r="H172" s="6" t="s">
        <v>111</v>
      </c>
      <c r="I172" s="7" t="s">
        <v>345</v>
      </c>
      <c r="J172" s="7">
        <v>73</v>
      </c>
      <c r="P172" s="10">
        <v>9780300145694</v>
      </c>
      <c r="Q172" s="2"/>
      <c r="R172" s="7"/>
      <c r="Z172" s="4" t="s">
        <v>113</v>
      </c>
      <c r="AA172" s="4" t="s">
        <v>345</v>
      </c>
      <c r="AB172" s="5">
        <v>48</v>
      </c>
      <c r="AH172" s="8" t="s">
        <v>950</v>
      </c>
      <c r="AI172" t="str">
        <f t="shared" si="12"/>
        <v>covers/triumph-provocation.jpg</v>
      </c>
      <c r="AY172" s="34" t="s">
        <v>952</v>
      </c>
      <c r="AZ172" s="38" t="s">
        <v>951</v>
      </c>
      <c r="BD172" t="s">
        <v>23</v>
      </c>
      <c r="BE172" t="s">
        <v>23</v>
      </c>
      <c r="BG172" t="s">
        <v>31</v>
      </c>
    </row>
    <row r="173" spans="1:59" x14ac:dyDescent="0.25">
      <c r="A173" t="s">
        <v>953</v>
      </c>
      <c r="B173" t="s">
        <v>215</v>
      </c>
      <c r="C173">
        <v>1009</v>
      </c>
      <c r="D173" s="15" t="s">
        <v>954</v>
      </c>
      <c r="E173" t="s">
        <v>955</v>
      </c>
      <c r="F173" t="s">
        <v>957</v>
      </c>
      <c r="G173" t="s">
        <v>956</v>
      </c>
      <c r="H173" s="6" t="s">
        <v>111</v>
      </c>
      <c r="I173" s="7" t="str">
        <f>R171</f>
        <v>Independently published</v>
      </c>
      <c r="J173" s="7">
        <v>42</v>
      </c>
      <c r="P173" s="10">
        <v>9798862956900</v>
      </c>
      <c r="Q173" s="2" t="str">
        <f>Q171</f>
        <v>Paperback</v>
      </c>
      <c r="R173" s="2" t="str">
        <f t="shared" ref="R173" si="13">R171</f>
        <v>Independently published</v>
      </c>
      <c r="S173" s="2">
        <v>19</v>
      </c>
      <c r="Y173" s="21">
        <v>9788395612206</v>
      </c>
      <c r="Z173" s="4"/>
      <c r="AA173" s="4"/>
      <c r="AI173" t="str">
        <f t="shared" si="12"/>
        <v>covers/sindbad.jpg</v>
      </c>
      <c r="AY173" s="34" t="s">
        <v>958</v>
      </c>
      <c r="BD173" t="s">
        <v>23</v>
      </c>
      <c r="BE173" t="s">
        <v>23</v>
      </c>
      <c r="BG173" t="s">
        <v>31</v>
      </c>
    </row>
    <row r="174" spans="1:59" x14ac:dyDescent="0.25">
      <c r="A174" t="s">
        <v>960</v>
      </c>
      <c r="B174" t="s">
        <v>126</v>
      </c>
      <c r="C174">
        <v>1010</v>
      </c>
      <c r="D174" s="15" t="s">
        <v>959</v>
      </c>
      <c r="E174" t="s">
        <v>955</v>
      </c>
      <c r="F174" t="s">
        <v>961</v>
      </c>
      <c r="H174" s="6"/>
      <c r="Q174" s="2" t="str">
        <f>Q173</f>
        <v>Paperback</v>
      </c>
      <c r="R174" s="2" t="str">
        <f>R173</f>
        <v>Independently published</v>
      </c>
      <c r="S174" s="3">
        <v>20</v>
      </c>
      <c r="Y174" s="21">
        <v>9781546749554</v>
      </c>
      <c r="Z174" s="4"/>
      <c r="AA174" s="4"/>
      <c r="AI174" t="str">
        <f t="shared" si="12"/>
        <v>covers/beyond-beyond.jpg</v>
      </c>
      <c r="AY174" s="34" t="s">
        <v>962</v>
      </c>
      <c r="BD174" t="s">
        <v>23</v>
      </c>
      <c r="BE174" t="s">
        <v>23</v>
      </c>
      <c r="BG174" t="s">
        <v>31</v>
      </c>
    </row>
    <row r="175" spans="1:59" x14ac:dyDescent="0.25">
      <c r="A175" t="s">
        <v>964</v>
      </c>
      <c r="B175" t="s">
        <v>126</v>
      </c>
      <c r="C175">
        <v>1020</v>
      </c>
      <c r="D175" s="15" t="s">
        <v>963</v>
      </c>
      <c r="E175" t="s">
        <v>955</v>
      </c>
      <c r="F175" t="s">
        <v>961</v>
      </c>
      <c r="H175" s="6"/>
      <c r="Q175" s="2" t="str">
        <f t="shared" ref="Q175:Q177" si="14">Q174</f>
        <v>Paperback</v>
      </c>
      <c r="R175" s="2" t="str">
        <f t="shared" ref="R175:R176" si="15">R174</f>
        <v>Independently published</v>
      </c>
      <c r="S175" s="3">
        <v>29</v>
      </c>
      <c r="Y175" s="21">
        <v>9780692201398</v>
      </c>
      <c r="Z175" s="4"/>
      <c r="AA175" s="4"/>
      <c r="AI175" t="str">
        <f t="shared" si="12"/>
        <v>covers/marvellations.jpg</v>
      </c>
      <c r="AY175" s="39" t="s">
        <v>965</v>
      </c>
      <c r="BD175" t="s">
        <v>23</v>
      </c>
      <c r="BE175" t="s">
        <v>23</v>
      </c>
      <c r="BG175" t="s">
        <v>31</v>
      </c>
    </row>
    <row r="176" spans="1:59" x14ac:dyDescent="0.25">
      <c r="A176" t="s">
        <v>967</v>
      </c>
      <c r="B176" t="s">
        <v>126</v>
      </c>
      <c r="C176">
        <v>1030</v>
      </c>
      <c r="D176" s="15" t="s">
        <v>966</v>
      </c>
      <c r="E176" t="s">
        <v>955</v>
      </c>
      <c r="F176" t="s">
        <v>961</v>
      </c>
      <c r="H176" s="6"/>
      <c r="Q176" s="2" t="str">
        <f t="shared" si="14"/>
        <v>Paperback</v>
      </c>
      <c r="R176" s="2" t="str">
        <f t="shared" si="15"/>
        <v>Independently published</v>
      </c>
      <c r="S176" s="3">
        <v>16</v>
      </c>
      <c r="Y176" s="21">
        <v>9781466220232</v>
      </c>
      <c r="Z176" s="4"/>
      <c r="AA176" s="4"/>
      <c r="AI176" t="str">
        <f t="shared" si="12"/>
        <v>covers/33-poems.jpg</v>
      </c>
      <c r="AY176" s="34" t="s">
        <v>968</v>
      </c>
      <c r="BD176" t="s">
        <v>23</v>
      </c>
      <c r="BE176" t="s">
        <v>23</v>
      </c>
      <c r="BG176" t="s">
        <v>31</v>
      </c>
    </row>
    <row r="177" spans="1:59" x14ac:dyDescent="0.25">
      <c r="A177" t="s">
        <v>969</v>
      </c>
      <c r="B177" t="s">
        <v>74</v>
      </c>
      <c r="C177">
        <v>1057</v>
      </c>
      <c r="D177" s="15" t="s">
        <v>970</v>
      </c>
      <c r="E177" t="s">
        <v>971</v>
      </c>
      <c r="H177" s="6"/>
      <c r="Q177" s="2" t="str">
        <f t="shared" si="14"/>
        <v>Paperback</v>
      </c>
      <c r="R177" s="2" t="s">
        <v>973</v>
      </c>
      <c r="S177" s="3">
        <v>25</v>
      </c>
      <c r="Y177" s="21">
        <v>9781595340337</v>
      </c>
      <c r="Z177" s="4"/>
      <c r="AA177" s="4"/>
      <c r="AI177" t="str">
        <f t="shared" si="12"/>
        <v>covers/on-writing.jpg</v>
      </c>
      <c r="AY177" s="34" t="s">
        <v>972</v>
      </c>
      <c r="BD177" t="s">
        <v>23</v>
      </c>
      <c r="BE177" t="s">
        <v>23</v>
      </c>
      <c r="BG177" t="s">
        <v>30</v>
      </c>
    </row>
    <row r="178" spans="1:59" x14ac:dyDescent="0.25">
      <c r="A178" t="s">
        <v>974</v>
      </c>
      <c r="B178" t="s">
        <v>74</v>
      </c>
      <c r="C178">
        <v>1058</v>
      </c>
      <c r="D178" s="15" t="s">
        <v>975</v>
      </c>
      <c r="E178" t="s">
        <v>200</v>
      </c>
      <c r="H178" s="6" t="s">
        <v>111</v>
      </c>
      <c r="I178" s="7" t="s">
        <v>976</v>
      </c>
      <c r="J178" s="7">
        <v>130</v>
      </c>
      <c r="P178" s="10">
        <v>9781501387104</v>
      </c>
      <c r="Q178" s="2" t="str">
        <f>Q177</f>
        <v>Paperback</v>
      </c>
      <c r="R178" s="2" t="str">
        <f>I178</f>
        <v xml:space="preserve">Bloomsbury Academic </v>
      </c>
      <c r="S178" s="3">
        <v>40</v>
      </c>
      <c r="Y178" s="21">
        <v>9781501387142</v>
      </c>
      <c r="Z178" s="4"/>
      <c r="AA178" s="4"/>
      <c r="AI178" t="str">
        <f t="shared" si="12"/>
        <v>covers/polish-lit-as-world.jpg</v>
      </c>
      <c r="AY178" s="34" t="s">
        <v>977</v>
      </c>
      <c r="AZ178" s="38" t="s">
        <v>978</v>
      </c>
      <c r="BD178" t="s">
        <v>23</v>
      </c>
      <c r="BE178" t="s">
        <v>23</v>
      </c>
      <c r="BG178" t="s">
        <v>31</v>
      </c>
    </row>
    <row r="179" spans="1:59" x14ac:dyDescent="0.25">
      <c r="A179" t="s">
        <v>982</v>
      </c>
      <c r="B179" t="s">
        <v>126</v>
      </c>
      <c r="C179">
        <v>1059</v>
      </c>
      <c r="D179" s="15" t="s">
        <v>979</v>
      </c>
      <c r="E179" t="s">
        <v>980</v>
      </c>
      <c r="F179" t="s">
        <v>981</v>
      </c>
      <c r="H179" s="6"/>
      <c r="Q179" s="2" t="str">
        <f>Q178</f>
        <v>Paperback</v>
      </c>
      <c r="R179" s="2" t="s">
        <v>987</v>
      </c>
      <c r="S179" s="3">
        <v>16</v>
      </c>
      <c r="Y179" s="21">
        <v>9781934414880</v>
      </c>
      <c r="Z179" s="4"/>
      <c r="AA179" s="4"/>
      <c r="AI179" t="str">
        <f t="shared" si="12"/>
        <v>covers/folding-star.jpg</v>
      </c>
      <c r="AY179" s="34" t="s">
        <v>983</v>
      </c>
      <c r="BD179" t="s">
        <v>23</v>
      </c>
      <c r="BE179" t="s">
        <v>23</v>
      </c>
      <c r="BG179" t="s">
        <v>31</v>
      </c>
    </row>
    <row r="180" spans="1:59" x14ac:dyDescent="0.25">
      <c r="A180" t="s">
        <v>984</v>
      </c>
      <c r="B180" t="s">
        <v>126</v>
      </c>
      <c r="C180">
        <v>1060</v>
      </c>
      <c r="D180" s="15" t="s">
        <v>985</v>
      </c>
      <c r="E180" t="s">
        <v>986</v>
      </c>
      <c r="F180" t="s">
        <v>981</v>
      </c>
      <c r="H180" s="6"/>
      <c r="Q180" s="2" t="str">
        <f>Q179</f>
        <v>Paperback</v>
      </c>
      <c r="R180" s="2" t="s">
        <v>987</v>
      </c>
      <c r="S180" s="3">
        <v>16</v>
      </c>
      <c r="Y180" s="21">
        <v>9781938160349</v>
      </c>
      <c r="Z180" s="4"/>
      <c r="AA180" s="4"/>
      <c r="AI180" t="str">
        <f t="shared" si="12"/>
        <v>covers/world-shared.jpg</v>
      </c>
      <c r="AY180" s="34" t="s">
        <v>988</v>
      </c>
      <c r="BD180" t="s">
        <v>23</v>
      </c>
      <c r="BE180" t="s">
        <v>23</v>
      </c>
      <c r="BG180" t="s">
        <v>31</v>
      </c>
    </row>
    <row r="181" spans="1:59" x14ac:dyDescent="0.25">
      <c r="A181" t="s">
        <v>989</v>
      </c>
      <c r="B181" t="s">
        <v>126</v>
      </c>
      <c r="C181">
        <v>1061</v>
      </c>
      <c r="D181" s="15" t="s">
        <v>997</v>
      </c>
      <c r="E181" t="s">
        <v>998</v>
      </c>
      <c r="F181" t="s">
        <v>999</v>
      </c>
      <c r="H181" s="6"/>
      <c r="Q181" s="2" t="str">
        <f>Q180</f>
        <v>Paperback</v>
      </c>
      <c r="R181" s="2" t="s">
        <v>990</v>
      </c>
      <c r="S181" s="3">
        <v>16</v>
      </c>
      <c r="Y181" s="21">
        <v>9781935744078</v>
      </c>
      <c r="Z181" s="4" t="s">
        <v>113</v>
      </c>
      <c r="AA181" s="4" t="str">
        <f>R181</f>
        <v>Archipelago</v>
      </c>
      <c r="AH181" s="8">
        <v>9781935744535</v>
      </c>
      <c r="AI181" t="str">
        <f t="shared" si="12"/>
        <v>covers/poems-norwid.jpg</v>
      </c>
      <c r="AY181" s="34" t="s">
        <v>991</v>
      </c>
      <c r="AZ181" s="38" t="s">
        <v>992</v>
      </c>
      <c r="BD181" t="s">
        <v>23</v>
      </c>
      <c r="BE181" t="s">
        <v>23</v>
      </c>
      <c r="BG181" t="s">
        <v>31</v>
      </c>
    </row>
    <row r="182" spans="1:59" x14ac:dyDescent="0.25">
      <c r="A182" t="s">
        <v>994</v>
      </c>
      <c r="B182" t="s">
        <v>126</v>
      </c>
      <c r="C182">
        <v>1061</v>
      </c>
      <c r="D182" s="15" t="s">
        <v>993</v>
      </c>
      <c r="E182" t="s">
        <v>995</v>
      </c>
      <c r="H182" s="6" t="s">
        <v>111</v>
      </c>
      <c r="I182" s="7" t="s">
        <v>996</v>
      </c>
      <c r="J182" s="7">
        <v>46</v>
      </c>
      <c r="P182" s="10">
        <v>9780674261112</v>
      </c>
      <c r="Q182" s="2"/>
      <c r="R182" s="2"/>
      <c r="Z182" s="4" t="str">
        <f>Z181</f>
        <v>Ebook</v>
      </c>
      <c r="AA182" s="4" t="str">
        <f>I182</f>
        <v>Harvard University Press</v>
      </c>
      <c r="AB182" s="5">
        <v>46</v>
      </c>
      <c r="AH182" s="8">
        <v>9780674270190</v>
      </c>
      <c r="AI182" t="str">
        <f t="shared" si="12"/>
        <v>covers/sound-modern.jpg</v>
      </c>
      <c r="AY182" s="34" t="s">
        <v>1001</v>
      </c>
      <c r="AZ182" s="38" t="s">
        <v>1000</v>
      </c>
      <c r="BD182" t="s">
        <v>23</v>
      </c>
      <c r="BE182" t="s">
        <v>23</v>
      </c>
      <c r="BG182" t="s">
        <v>30</v>
      </c>
    </row>
    <row r="183" spans="1:59" x14ac:dyDescent="0.25">
      <c r="A183" t="s">
        <v>1002</v>
      </c>
      <c r="B183" t="s">
        <v>78</v>
      </c>
      <c r="C183">
        <v>1062</v>
      </c>
      <c r="D183" s="15" t="s">
        <v>1003</v>
      </c>
      <c r="E183" t="s">
        <v>1004</v>
      </c>
      <c r="F183" t="s">
        <v>999</v>
      </c>
      <c r="H183" s="6"/>
      <c r="Q183" s="2" t="str">
        <f>Q181</f>
        <v>Paperback</v>
      </c>
      <c r="R183" s="2" t="s">
        <v>429</v>
      </c>
      <c r="S183" s="3">
        <v>20</v>
      </c>
      <c r="Y183" s="21">
        <v>9780802145130</v>
      </c>
      <c r="Z183" s="4" t="str">
        <f>Z182</f>
        <v>Ebook</v>
      </c>
      <c r="AA183" s="4" t="str">
        <f>R183</f>
        <v>Grove Press</v>
      </c>
      <c r="AB183" s="5">
        <v>9.99</v>
      </c>
      <c r="AH183" s="8">
        <v>9780802195289</v>
      </c>
      <c r="AI183" t="str">
        <f t="shared" si="12"/>
        <v>covers/pornografia.jpg</v>
      </c>
      <c r="AY183" s="34" t="s">
        <v>1005</v>
      </c>
      <c r="AZ183" s="38" t="s">
        <v>1006</v>
      </c>
      <c r="BD183" t="s">
        <v>23</v>
      </c>
      <c r="BE183" t="s">
        <v>23</v>
      </c>
      <c r="BG183" t="s">
        <v>31</v>
      </c>
    </row>
    <row r="184" spans="1:59" x14ac:dyDescent="0.25">
      <c r="A184" t="s">
        <v>1007</v>
      </c>
      <c r="B184" t="s">
        <v>78</v>
      </c>
      <c r="C184">
        <v>1063</v>
      </c>
      <c r="D184" s="15" t="s">
        <v>1008</v>
      </c>
      <c r="E184" t="s">
        <v>1004</v>
      </c>
      <c r="F184" t="s">
        <v>999</v>
      </c>
      <c r="H184" s="6"/>
      <c r="Q184" s="2" t="str">
        <f>Q183</f>
        <v>Paperback</v>
      </c>
      <c r="R184" s="2" t="s">
        <v>345</v>
      </c>
      <c r="S184" s="3">
        <v>17</v>
      </c>
      <c r="Y184" s="21">
        <v>9780300175301</v>
      </c>
      <c r="Z184" s="4" t="str">
        <f>Z183</f>
        <v>Ebook</v>
      </c>
      <c r="AA184" s="4" t="s">
        <v>345</v>
      </c>
      <c r="AB184" s="5">
        <v>17</v>
      </c>
      <c r="AH184" s="8">
        <v>9780300207019</v>
      </c>
      <c r="AI184" t="str">
        <f t="shared" si="12"/>
        <v>covers/transatlantic.jpg</v>
      </c>
      <c r="AY184" s="34" t="s">
        <v>1010</v>
      </c>
      <c r="AZ184" s="38" t="s">
        <v>1009</v>
      </c>
      <c r="BD184" t="s">
        <v>23</v>
      </c>
      <c r="BE184" t="s">
        <v>23</v>
      </c>
      <c r="BG184" t="s">
        <v>31</v>
      </c>
    </row>
    <row r="185" spans="1:59" x14ac:dyDescent="0.25">
      <c r="A185" t="s">
        <v>1011</v>
      </c>
      <c r="B185" t="s">
        <v>78</v>
      </c>
      <c r="C185">
        <v>1064</v>
      </c>
      <c r="D185" s="15" t="s">
        <v>1012</v>
      </c>
      <c r="E185" t="s">
        <v>1013</v>
      </c>
      <c r="H185" s="6" t="s">
        <v>111</v>
      </c>
      <c r="I185" s="7" t="s">
        <v>1015</v>
      </c>
      <c r="J185" s="7">
        <v>40</v>
      </c>
      <c r="P185" s="10">
        <v>9781019403907</v>
      </c>
      <c r="Q185" s="2" t="str">
        <f>Q184</f>
        <v>Paperback</v>
      </c>
      <c r="R185" s="2" t="str">
        <f>I185</f>
        <v>Legare Street Press</v>
      </c>
      <c r="S185" s="3">
        <v>27</v>
      </c>
      <c r="Y185" s="21">
        <v>9781021190314</v>
      </c>
      <c r="Z185" s="4"/>
      <c r="AA185" s="4"/>
      <c r="AI185" t="str">
        <f t="shared" si="12"/>
        <v>covers/angels-dust.jpg</v>
      </c>
      <c r="AY185" s="34" t="s">
        <v>1014</v>
      </c>
      <c r="BD185" t="s">
        <v>23</v>
      </c>
      <c r="BE185" t="s">
        <v>23</v>
      </c>
      <c r="BG185" t="s">
        <v>31</v>
      </c>
    </row>
    <row r="186" spans="1:59" x14ac:dyDescent="0.25">
      <c r="A186" t="s">
        <v>1016</v>
      </c>
      <c r="B186" t="s">
        <v>78</v>
      </c>
      <c r="C186">
        <v>1065</v>
      </c>
      <c r="D186" s="15" t="s">
        <v>1017</v>
      </c>
      <c r="E186" t="s">
        <v>1018</v>
      </c>
      <c r="F186" t="s">
        <v>1019</v>
      </c>
      <c r="G186" t="s">
        <v>1020</v>
      </c>
      <c r="H186" s="6"/>
      <c r="Q186" s="2" t="str">
        <f>Q185</f>
        <v>Paperback</v>
      </c>
      <c r="R186" s="2" t="s">
        <v>1023</v>
      </c>
      <c r="S186" s="3">
        <v>18</v>
      </c>
      <c r="Y186" s="21">
        <v>9788086264349</v>
      </c>
      <c r="Z186" s="4" t="str">
        <f>Z184</f>
        <v>Ebook</v>
      </c>
      <c r="AA186" s="4" t="str">
        <f>R186</f>
        <v>Twister Spoon Press</v>
      </c>
      <c r="AB186" s="5">
        <v>9.5</v>
      </c>
      <c r="AH186" s="8">
        <v>9788086264752</v>
      </c>
      <c r="AI186" t="str">
        <f t="shared" si="12"/>
        <v>covers/burn-paris.jpg</v>
      </c>
      <c r="AY186" s="34" t="s">
        <v>1021</v>
      </c>
      <c r="AZ186" s="38" t="s">
        <v>1022</v>
      </c>
      <c r="BD186" t="s">
        <v>23</v>
      </c>
      <c r="BE186" t="s">
        <v>23</v>
      </c>
      <c r="BG186" t="s">
        <v>31</v>
      </c>
    </row>
    <row r="187" spans="1:59" x14ac:dyDescent="0.25">
      <c r="A187" t="s">
        <v>1042</v>
      </c>
      <c r="B187" t="s">
        <v>78</v>
      </c>
      <c r="C187">
        <v>1070</v>
      </c>
      <c r="D187" s="15" t="s">
        <v>1050</v>
      </c>
      <c r="E187" t="s">
        <v>1044</v>
      </c>
      <c r="F187" t="s">
        <v>1045</v>
      </c>
      <c r="H187" s="6"/>
      <c r="Q187" s="2" t="str">
        <f>Q186</f>
        <v>Paperback</v>
      </c>
      <c r="R187" s="2" t="s">
        <v>1046</v>
      </c>
      <c r="S187" s="3">
        <v>13</v>
      </c>
      <c r="Y187" s="21">
        <v>9781939931214</v>
      </c>
      <c r="Z187" s="4" t="str">
        <f>Z186</f>
        <v>Ebook</v>
      </c>
      <c r="AA187" s="4" t="str">
        <f>R187</f>
        <v>New Vessel</v>
      </c>
      <c r="AB187" s="5">
        <v>10</v>
      </c>
      <c r="AH187" s="8">
        <v>9781939931238</v>
      </c>
      <c r="AI187" t="str">
        <f t="shared" si="12"/>
        <v>covers/killing-auntie.jpg</v>
      </c>
      <c r="AY187" s="34" t="s">
        <v>1047</v>
      </c>
      <c r="AZ187" s="38" t="s">
        <v>1048</v>
      </c>
      <c r="BD187" t="s">
        <v>23</v>
      </c>
      <c r="BE187" t="s">
        <v>23</v>
      </c>
      <c r="BG187" t="s">
        <v>31</v>
      </c>
    </row>
    <row r="188" spans="1:59" x14ac:dyDescent="0.25">
      <c r="A188" t="s">
        <v>1049</v>
      </c>
      <c r="B188" t="s">
        <v>74</v>
      </c>
      <c r="C188">
        <v>1071</v>
      </c>
      <c r="D188" s="15" t="s">
        <v>1043</v>
      </c>
      <c r="E188" t="s">
        <v>1051</v>
      </c>
      <c r="F188" t="s">
        <v>1045</v>
      </c>
      <c r="H188" s="6" t="s">
        <v>111</v>
      </c>
      <c r="I188" s="7" t="s">
        <v>1052</v>
      </c>
      <c r="J188" s="7">
        <v>119</v>
      </c>
      <c r="P188" s="10">
        <v>9781644694770</v>
      </c>
      <c r="Q188" s="2" t="str">
        <f>Q187</f>
        <v>Paperback</v>
      </c>
      <c r="R188" s="2" t="str">
        <f t="shared" ref="R188:R236" si="16">I188</f>
        <v>Academic Studies Press</v>
      </c>
      <c r="S188" s="3">
        <v>23</v>
      </c>
      <c r="Y188" s="21">
        <v>9781644695654</v>
      </c>
      <c r="Z188" s="4" t="str">
        <f>Z187</f>
        <v>Ebook</v>
      </c>
      <c r="AA188" s="4" t="str">
        <f>R188</f>
        <v>Academic Studies Press</v>
      </c>
      <c r="AB188" s="5">
        <v>23</v>
      </c>
      <c r="AH188" s="8">
        <v>9781644694794</v>
      </c>
      <c r="AI188" t="str">
        <f t="shared" si="12"/>
        <v>covers/palestine-3rd.jpg</v>
      </c>
      <c r="AY188" s="34" t="s">
        <v>1053</v>
      </c>
      <c r="AZ188" s="38" t="s">
        <v>1054</v>
      </c>
      <c r="BD188" t="s">
        <v>23</v>
      </c>
      <c r="BE188" t="s">
        <v>23</v>
      </c>
      <c r="BG188" t="s">
        <v>31</v>
      </c>
    </row>
    <row r="189" spans="1:59" x14ac:dyDescent="0.25">
      <c r="A189" t="s">
        <v>1056</v>
      </c>
      <c r="B189" t="s">
        <v>78</v>
      </c>
      <c r="C189">
        <v>1072</v>
      </c>
      <c r="D189" s="15" t="s">
        <v>1055</v>
      </c>
      <c r="E189" t="str">
        <f>E168</f>
        <v>Stanisław Ignacy Witkiewicz</v>
      </c>
      <c r="F189" t="s">
        <v>1057</v>
      </c>
      <c r="H189" s="6"/>
      <c r="Q189" s="2" t="str">
        <f>Q188</f>
        <v>Paperback</v>
      </c>
      <c r="R189" s="2" t="s">
        <v>229</v>
      </c>
      <c r="S189" s="3">
        <v>35</v>
      </c>
      <c r="Y189" s="21">
        <v>9780810111349</v>
      </c>
      <c r="Z189" s="4"/>
      <c r="AA189" s="4"/>
      <c r="AI189" t="str">
        <f t="shared" si="12"/>
        <v>covers/insatiability.jpg</v>
      </c>
      <c r="AY189" s="34" t="s">
        <v>1058</v>
      </c>
      <c r="AZ189" s="38" t="s">
        <v>1059</v>
      </c>
    </row>
    <row r="190" spans="1:59" x14ac:dyDescent="0.25">
      <c r="A190" t="s">
        <v>1061</v>
      </c>
      <c r="B190" t="s">
        <v>301</v>
      </c>
      <c r="C190">
        <v>575</v>
      </c>
      <c r="D190" s="15" t="s">
        <v>1060</v>
      </c>
      <c r="E190" t="s">
        <v>89</v>
      </c>
      <c r="F190" t="s">
        <v>1057</v>
      </c>
      <c r="H190" s="6"/>
      <c r="Q190" s="2" t="str">
        <f>Q189</f>
        <v>Paperback</v>
      </c>
      <c r="R190" s="2" t="s">
        <v>1062</v>
      </c>
      <c r="S190" s="3">
        <v>12</v>
      </c>
      <c r="Y190" s="21">
        <v>9780156881500</v>
      </c>
      <c r="Z190" s="4"/>
      <c r="AA190" s="4"/>
      <c r="AI190" t="str">
        <f t="shared" si="12"/>
        <v>covers/pirx.jpg</v>
      </c>
      <c r="AY190" s="34" t="s">
        <v>1063</v>
      </c>
    </row>
    <row r="191" spans="1:59" x14ac:dyDescent="0.25">
      <c r="A191" t="s">
        <v>1068</v>
      </c>
      <c r="B191" t="s">
        <v>301</v>
      </c>
      <c r="C191">
        <v>873</v>
      </c>
      <c r="D191" s="15" t="s">
        <v>1069</v>
      </c>
      <c r="E191" t="s">
        <v>89</v>
      </c>
      <c r="F191" t="s">
        <v>1057</v>
      </c>
      <c r="H191" s="6"/>
      <c r="Q191" s="2" t="str">
        <f>Q190</f>
        <v>Paperback</v>
      </c>
      <c r="R191" s="2" t="s">
        <v>1062</v>
      </c>
      <c r="S191" s="3">
        <v>11</v>
      </c>
      <c r="Y191" s="21">
        <v>9780156165006</v>
      </c>
      <c r="Z191" s="4"/>
      <c r="AA191" s="4"/>
      <c r="AI191" t="str">
        <f t="shared" si="12"/>
        <v>covers/chain-chance.jpg</v>
      </c>
      <c r="AY191" s="34" t="s">
        <v>1070</v>
      </c>
    </row>
    <row r="192" spans="1:59" x14ac:dyDescent="0.25">
      <c r="A192" t="s">
        <v>1065</v>
      </c>
      <c r="B192" t="s">
        <v>74</v>
      </c>
      <c r="C192">
        <v>874</v>
      </c>
      <c r="D192" s="15" t="s">
        <v>1064</v>
      </c>
      <c r="E192" t="s">
        <v>127</v>
      </c>
      <c r="F192" t="s">
        <v>1057</v>
      </c>
      <c r="H192" s="6"/>
      <c r="Q192" s="2" t="str">
        <f>Q190</f>
        <v>Paperback</v>
      </c>
      <c r="R192" s="2" t="s">
        <v>135</v>
      </c>
      <c r="S192" s="3">
        <v>22</v>
      </c>
      <c r="Y192" s="21">
        <v>9780374519377</v>
      </c>
      <c r="Z192" s="4"/>
      <c r="AA192" s="4"/>
      <c r="AI192" t="str">
        <f t="shared" si="12"/>
        <v>covers/ulro.jpg</v>
      </c>
      <c r="AY192" s="34" t="s">
        <v>1066</v>
      </c>
      <c r="AZ192" s="38" t="s">
        <v>1067</v>
      </c>
    </row>
    <row r="193" spans="8:27" x14ac:dyDescent="0.25">
      <c r="H193" s="6"/>
      <c r="R193" s="2">
        <f t="shared" si="16"/>
        <v>0</v>
      </c>
      <c r="Z193" s="4"/>
      <c r="AA193" s="4"/>
    </row>
    <row r="194" spans="8:27" x14ac:dyDescent="0.25">
      <c r="H194" s="6"/>
      <c r="R194" s="2">
        <f t="shared" si="16"/>
        <v>0</v>
      </c>
      <c r="Z194" s="4"/>
      <c r="AA194" s="4"/>
    </row>
    <row r="195" spans="8:27" x14ac:dyDescent="0.25">
      <c r="H195" s="6"/>
      <c r="R195" s="2">
        <f t="shared" si="16"/>
        <v>0</v>
      </c>
      <c r="Z195" s="4"/>
      <c r="AA195" s="4"/>
    </row>
    <row r="196" spans="8:27" x14ac:dyDescent="0.25">
      <c r="H196" s="6"/>
      <c r="R196" s="2">
        <f t="shared" si="16"/>
        <v>0</v>
      </c>
      <c r="Z196" s="4"/>
      <c r="AA196" s="4"/>
    </row>
    <row r="197" spans="8:27" x14ac:dyDescent="0.25">
      <c r="H197" s="6"/>
      <c r="R197" s="2">
        <f t="shared" si="16"/>
        <v>0</v>
      </c>
      <c r="Z197" s="4"/>
      <c r="AA197" s="4"/>
    </row>
    <row r="198" spans="8:27" x14ac:dyDescent="0.25">
      <c r="H198" s="6"/>
      <c r="R198" s="2">
        <f t="shared" si="16"/>
        <v>0</v>
      </c>
      <c r="Z198" s="4"/>
      <c r="AA198" s="4"/>
    </row>
    <row r="199" spans="8:27" x14ac:dyDescent="0.25">
      <c r="H199" s="6"/>
      <c r="R199" s="2">
        <f t="shared" si="16"/>
        <v>0</v>
      </c>
      <c r="Z199" s="4"/>
      <c r="AA199" s="4"/>
    </row>
    <row r="200" spans="8:27" x14ac:dyDescent="0.25">
      <c r="H200" s="6"/>
      <c r="R200" s="2">
        <f t="shared" si="16"/>
        <v>0</v>
      </c>
      <c r="Z200" s="4"/>
      <c r="AA200" s="4"/>
    </row>
    <row r="201" spans="8:27" x14ac:dyDescent="0.25">
      <c r="H201" s="6"/>
      <c r="R201" s="2">
        <f t="shared" si="16"/>
        <v>0</v>
      </c>
      <c r="Z201" s="4"/>
      <c r="AA201" s="4"/>
    </row>
    <row r="202" spans="8:27" x14ac:dyDescent="0.25">
      <c r="R202" s="2">
        <f t="shared" si="16"/>
        <v>0</v>
      </c>
      <c r="Z202" s="4"/>
      <c r="AA202" s="4"/>
    </row>
    <row r="203" spans="8:27" x14ac:dyDescent="0.25">
      <c r="R203" s="2">
        <f t="shared" si="16"/>
        <v>0</v>
      </c>
      <c r="Z203" s="4"/>
      <c r="AA203" s="4"/>
    </row>
    <row r="204" spans="8:27" x14ac:dyDescent="0.25">
      <c r="R204" s="2">
        <f t="shared" si="16"/>
        <v>0</v>
      </c>
      <c r="Z204" s="4"/>
      <c r="AA204" s="4"/>
    </row>
    <row r="205" spans="8:27" x14ac:dyDescent="0.25">
      <c r="R205" s="2">
        <f t="shared" si="16"/>
        <v>0</v>
      </c>
      <c r="Z205" s="4"/>
      <c r="AA205" s="4"/>
    </row>
    <row r="206" spans="8:27" x14ac:dyDescent="0.25">
      <c r="R206" s="2">
        <f t="shared" si="16"/>
        <v>0</v>
      </c>
      <c r="Z206" s="4"/>
      <c r="AA206" s="4"/>
    </row>
    <row r="207" spans="8:27" x14ac:dyDescent="0.25">
      <c r="R207" s="2">
        <f t="shared" si="16"/>
        <v>0</v>
      </c>
      <c r="Z207" s="4"/>
      <c r="AA207" s="4"/>
    </row>
    <row r="208" spans="8:27" x14ac:dyDescent="0.25">
      <c r="R208" s="2">
        <f t="shared" si="16"/>
        <v>0</v>
      </c>
      <c r="Z208" s="4"/>
      <c r="AA208" s="4"/>
    </row>
    <row r="209" spans="18:27" x14ac:dyDescent="0.25">
      <c r="R209" s="2">
        <f t="shared" si="16"/>
        <v>0</v>
      </c>
      <c r="Z209" s="4"/>
      <c r="AA209" s="4"/>
    </row>
    <row r="210" spans="18:27" x14ac:dyDescent="0.25">
      <c r="R210" s="2">
        <f t="shared" si="16"/>
        <v>0</v>
      </c>
      <c r="Z210" s="4"/>
      <c r="AA210" s="4"/>
    </row>
    <row r="211" spans="18:27" x14ac:dyDescent="0.25">
      <c r="R211" s="2">
        <f t="shared" si="16"/>
        <v>0</v>
      </c>
      <c r="Z211" s="4"/>
      <c r="AA211" s="4"/>
    </row>
    <row r="212" spans="18:27" x14ac:dyDescent="0.25">
      <c r="R212" s="2">
        <f t="shared" si="16"/>
        <v>0</v>
      </c>
      <c r="Z212" s="4"/>
      <c r="AA212" s="4"/>
    </row>
    <row r="213" spans="18:27" x14ac:dyDescent="0.25">
      <c r="R213" s="2">
        <f t="shared" si="16"/>
        <v>0</v>
      </c>
      <c r="Z213" s="4"/>
      <c r="AA213" s="4"/>
    </row>
    <row r="214" spans="18:27" x14ac:dyDescent="0.25">
      <c r="R214" s="2">
        <f t="shared" si="16"/>
        <v>0</v>
      </c>
      <c r="Z214" s="4"/>
      <c r="AA214" s="4"/>
    </row>
    <row r="215" spans="18:27" x14ac:dyDescent="0.25">
      <c r="R215" s="2">
        <f t="shared" si="16"/>
        <v>0</v>
      </c>
      <c r="Z215" s="4"/>
      <c r="AA215" s="4"/>
    </row>
    <row r="216" spans="18:27" x14ac:dyDescent="0.25">
      <c r="R216" s="2">
        <f t="shared" si="16"/>
        <v>0</v>
      </c>
      <c r="Z216" s="4"/>
      <c r="AA216" s="4"/>
    </row>
    <row r="217" spans="18:27" x14ac:dyDescent="0.25">
      <c r="R217" s="2">
        <f t="shared" si="16"/>
        <v>0</v>
      </c>
      <c r="Z217" s="4"/>
      <c r="AA217" s="4"/>
    </row>
    <row r="218" spans="18:27" x14ac:dyDescent="0.25">
      <c r="R218" s="2">
        <f t="shared" si="16"/>
        <v>0</v>
      </c>
      <c r="Z218" s="4"/>
      <c r="AA218" s="4"/>
    </row>
    <row r="219" spans="18:27" x14ac:dyDescent="0.25">
      <c r="R219" s="2">
        <f t="shared" si="16"/>
        <v>0</v>
      </c>
      <c r="Z219" s="4"/>
      <c r="AA219" s="4"/>
    </row>
    <row r="220" spans="18:27" x14ac:dyDescent="0.25">
      <c r="R220" s="2">
        <f t="shared" si="16"/>
        <v>0</v>
      </c>
      <c r="Z220" s="4"/>
      <c r="AA220" s="4"/>
    </row>
    <row r="221" spans="18:27" x14ac:dyDescent="0.25">
      <c r="R221" s="2">
        <f t="shared" si="16"/>
        <v>0</v>
      </c>
      <c r="Z221" s="4"/>
      <c r="AA221" s="4"/>
    </row>
    <row r="222" spans="18:27" x14ac:dyDescent="0.25">
      <c r="R222" s="2">
        <f t="shared" si="16"/>
        <v>0</v>
      </c>
      <c r="Z222" s="4"/>
      <c r="AA222" s="4"/>
    </row>
    <row r="223" spans="18:27" x14ac:dyDescent="0.25">
      <c r="R223" s="2">
        <f t="shared" si="16"/>
        <v>0</v>
      </c>
      <c r="Z223" s="4"/>
      <c r="AA223" s="4"/>
    </row>
    <row r="224" spans="18:27" x14ac:dyDescent="0.25">
      <c r="R224" s="2">
        <f t="shared" si="16"/>
        <v>0</v>
      </c>
      <c r="Z224" s="4"/>
      <c r="AA224" s="4"/>
    </row>
    <row r="225" spans="18:27" x14ac:dyDescent="0.25">
      <c r="R225" s="2">
        <f t="shared" si="16"/>
        <v>0</v>
      </c>
      <c r="Z225" s="4"/>
      <c r="AA225" s="4"/>
    </row>
    <row r="226" spans="18:27" x14ac:dyDescent="0.25">
      <c r="R226" s="2">
        <f t="shared" si="16"/>
        <v>0</v>
      </c>
      <c r="Z226" s="4"/>
      <c r="AA226" s="4"/>
    </row>
    <row r="227" spans="18:27" x14ac:dyDescent="0.25">
      <c r="R227" s="2">
        <f t="shared" si="16"/>
        <v>0</v>
      </c>
      <c r="Z227" s="4"/>
      <c r="AA227" s="4"/>
    </row>
    <row r="228" spans="18:27" x14ac:dyDescent="0.25">
      <c r="R228" s="2">
        <f t="shared" si="16"/>
        <v>0</v>
      </c>
      <c r="Z228" s="4"/>
      <c r="AA228" s="4"/>
    </row>
    <row r="229" spans="18:27" x14ac:dyDescent="0.25">
      <c r="R229" s="2">
        <f t="shared" si="16"/>
        <v>0</v>
      </c>
      <c r="Z229" s="4"/>
      <c r="AA229" s="4"/>
    </row>
    <row r="230" spans="18:27" x14ac:dyDescent="0.25">
      <c r="R230" s="2">
        <f t="shared" si="16"/>
        <v>0</v>
      </c>
      <c r="Z230" s="4"/>
      <c r="AA230" s="4"/>
    </row>
    <row r="231" spans="18:27" x14ac:dyDescent="0.25">
      <c r="R231" s="2">
        <f t="shared" si="16"/>
        <v>0</v>
      </c>
      <c r="Z231" s="4"/>
      <c r="AA231" s="4"/>
    </row>
    <row r="232" spans="18:27" x14ac:dyDescent="0.25">
      <c r="R232" s="2">
        <f t="shared" si="16"/>
        <v>0</v>
      </c>
      <c r="Z232" s="4"/>
      <c r="AA232" s="4"/>
    </row>
    <row r="233" spans="18:27" x14ac:dyDescent="0.25">
      <c r="R233" s="2">
        <f t="shared" si="16"/>
        <v>0</v>
      </c>
      <c r="Z233" s="4"/>
      <c r="AA233" s="4"/>
    </row>
    <row r="234" spans="18:27" x14ac:dyDescent="0.25">
      <c r="R234" s="2">
        <f t="shared" si="16"/>
        <v>0</v>
      </c>
      <c r="Z234" s="4"/>
      <c r="AA234" s="4"/>
    </row>
    <row r="235" spans="18:27" x14ac:dyDescent="0.25">
      <c r="R235" s="2">
        <f t="shared" si="16"/>
        <v>0</v>
      </c>
      <c r="Z235" s="4"/>
      <c r="AA235" s="4"/>
    </row>
    <row r="236" spans="18:27" x14ac:dyDescent="0.25">
      <c r="R236" s="2">
        <f t="shared" si="16"/>
        <v>0</v>
      </c>
      <c r="Z236" s="4"/>
      <c r="AA236" s="4" t="s">
        <v>345</v>
      </c>
    </row>
    <row r="237" spans="18:27" x14ac:dyDescent="0.25">
      <c r="Z237" s="4"/>
      <c r="AA237" s="4" t="s">
        <v>345</v>
      </c>
    </row>
    <row r="238" spans="18:27" x14ac:dyDescent="0.25">
      <c r="Z238" s="4"/>
      <c r="AA238" s="4" t="s">
        <v>345</v>
      </c>
    </row>
    <row r="239" spans="18:27" x14ac:dyDescent="0.25">
      <c r="Z239" s="4"/>
      <c r="AA239" s="4" t="s">
        <v>345</v>
      </c>
    </row>
    <row r="240" spans="18:27" x14ac:dyDescent="0.25">
      <c r="Z240" s="4"/>
      <c r="AA240" s="4" t="s">
        <v>345</v>
      </c>
    </row>
    <row r="241" spans="26:27" x14ac:dyDescent="0.25">
      <c r="Z241" s="4"/>
      <c r="AA241" s="4" t="s">
        <v>345</v>
      </c>
    </row>
    <row r="242" spans="26:27" x14ac:dyDescent="0.25">
      <c r="Z242" s="4"/>
      <c r="AA242" s="4" t="s">
        <v>345</v>
      </c>
    </row>
    <row r="243" spans="26:27" x14ac:dyDescent="0.25">
      <c r="Z243" s="4"/>
      <c r="AA243" s="4" t="s">
        <v>345</v>
      </c>
    </row>
    <row r="244" spans="26:27" x14ac:dyDescent="0.25">
      <c r="Z244" s="4"/>
      <c r="AA244" s="4" t="s">
        <v>345</v>
      </c>
    </row>
  </sheetData>
  <phoneticPr fontId="6" type="noConversion"/>
  <dataValidations count="2">
    <dataValidation type="list" allowBlank="1" showInputMessage="1" showErrorMessage="1" sqref="H56:H63 P51 AH51 Y51 H54 H202:H1048576 I197:I1048576 Z162 Z245:AA1048576 R237:R1048576 Q193: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2026-03-31T10:34:41Z</dcterms:modified>
</cp:coreProperties>
</file>